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Vendas" sheetId="2" state="visible" r:id="rId4"/>
    <sheet name="Não é venda" sheetId="3" state="visible" r:id="rId5"/>
    <sheet name="Original" sheetId="4" state="visible" r:id="rId6"/>
    <sheet name="Como usar" sheetId="5" state="visible" r:id="rId7"/>
  </sheets>
  <definedNames>
    <definedName function="false" hidden="true" localSheetId="1" name="_xlnm._FilterDatabase" vbProcedure="false">Vendas!$A$1:$O$70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<sst xmlns="http://schemas.openxmlformats.org/spreadsheetml/2006/main" count="1000" uniqueCount="298">
  <si>
    <t xml:space="preserve">Vendas da Maria</t>
  </si>
  <si>
    <t xml:space="preserve">Os números abaixo se atualizam sozinhos quando você lança uma venda nova na aba Vendas.</t>
  </si>
  <si>
    <t xml:space="preserve">O que você quer saber</t>
  </si>
  <si>
    <t xml:space="preserve">Resposta</t>
  </si>
  <si>
    <t xml:space="preserve">Quem está me devendo</t>
  </si>
  <si>
    <t xml:space="preserve">Quanto</t>
  </si>
  <si>
    <t xml:space="preserve">Desde</t>
  </si>
  <si>
    <t xml:space="preserve">Total vendido</t>
  </si>
  <si>
    <t xml:space="preserve">A moca</t>
  </si>
  <si>
    <t xml:space="preserve">Quantas vendas</t>
  </si>
  <si>
    <t xml:space="preserve">Não identificado</t>
  </si>
  <si>
    <t xml:space="preserve">Vendido hoje</t>
  </si>
  <si>
    <t xml:space="preserve">Rita</t>
  </si>
  <si>
    <t xml:space="preserve">Vendido neste mês</t>
  </si>
  <si>
    <t xml:space="preserve">Total</t>
  </si>
  <si>
    <t xml:space="preserve">Vendido em setembro/2026</t>
  </si>
  <si>
    <t xml:space="preserve">Quando receber, troca 'Recebido?' pra Sim na aba Vendas e a pessoa some daqui.</t>
  </si>
  <si>
    <t xml:space="preserve">Vendido em agosto/2026</t>
  </si>
  <si>
    <t xml:space="preserve">A receber (fiado)</t>
  </si>
  <si>
    <t xml:space="preserve">O que está no correio</t>
  </si>
  <si>
    <t xml:space="preserve">Código</t>
  </si>
  <si>
    <t xml:space="preserve">Enviado em</t>
  </si>
  <si>
    <t xml:space="preserve">Encomendas com código de rastreio</t>
  </si>
  <si>
    <t xml:space="preserve">Colar dourado — Ana</t>
  </si>
  <si>
    <t xml:space="preserve">AA123456789BR</t>
  </si>
  <si>
    <t xml:space="preserve">Linhas pra você confirmar</t>
  </si>
  <si>
    <t xml:space="preserve">Colar — Juliana</t>
  </si>
  <si>
    <t xml:space="preserve">AA998877665BR</t>
  </si>
  <si>
    <t xml:space="preserve">O total exclui compras de estoque e devoluções (aba 'Não é venda').</t>
  </si>
  <si>
    <t xml:space="preserve">Lenco — Paula</t>
  </si>
  <si>
    <t xml:space="preserve">LB456789123HK</t>
  </si>
  <si>
    <t xml:space="preserve">Cordao — Felipe</t>
  </si>
  <si>
    <t xml:space="preserve">OJ112233445BR</t>
  </si>
  <si>
    <t xml:space="preserve">Lista gerada na migração em 07/10/2026; o assistente atualiza quando você lança envios novos.</t>
  </si>
  <si>
    <t xml:space="preserve">Data</t>
  </si>
  <si>
    <t xml:space="preserve">Produto</t>
  </si>
  <si>
    <t xml:space="preserve">Cliente</t>
  </si>
  <si>
    <t xml:space="preserve">Valor (R$)</t>
  </si>
  <si>
    <t xml:space="preserve">Frete (R$)</t>
  </si>
  <si>
    <t xml:space="preserve">Pagamento</t>
  </si>
  <si>
    <t xml:space="preserve">Cartão</t>
  </si>
  <si>
    <t xml:space="preserve">Parcelas</t>
  </si>
  <si>
    <t xml:space="preserve">Entrega</t>
  </si>
  <si>
    <t xml:space="preserve">Rastreio</t>
  </si>
  <si>
    <t xml:space="preserve">Recebido?</t>
  </si>
  <si>
    <t xml:space="preserve">Obs</t>
  </si>
  <si>
    <t xml:space="preserve">Confirmar?</t>
  </si>
  <si>
    <t xml:space="preserve">Nota do sistema</t>
  </si>
  <si>
    <t xml:space="preserve">Nº original</t>
  </si>
  <si>
    <t xml:space="preserve">Brinco argola</t>
  </si>
  <si>
    <t xml:space="preserve">Ana</t>
  </si>
  <si>
    <t xml:space="preserve">Pix</t>
  </si>
  <si>
    <t xml:space="preserve">Retirou na loja</t>
  </si>
  <si>
    <t xml:space="preserve">Sim</t>
  </si>
  <si>
    <t xml:space="preserve">pediu embrulho</t>
  </si>
  <si>
    <t xml:space="preserve">Colar</t>
  </si>
  <si>
    <t xml:space="preserve">Joao</t>
  </si>
  <si>
    <t xml:space="preserve">Dinheiro</t>
  </si>
  <si>
    <t xml:space="preserve">Carla</t>
  </si>
  <si>
    <t xml:space="preserve">Débito</t>
  </si>
  <si>
    <t xml:space="preserve">Master</t>
  </si>
  <si>
    <t xml:space="preserve">Anel</t>
  </si>
  <si>
    <t xml:space="preserve">Lucia</t>
  </si>
  <si>
    <t xml:space="preserve">Crédito</t>
  </si>
  <si>
    <t xml:space="preserve">Visa</t>
  </si>
  <si>
    <t xml:space="preserve">Correios</t>
  </si>
  <si>
    <t xml:space="preserve">Argola dourada</t>
  </si>
  <si>
    <t xml:space="preserve">Fernanda</t>
  </si>
  <si>
    <t xml:space="preserve">Motoboy</t>
  </si>
  <si>
    <t xml:space="preserve">formato americano, lida como 06/08/2026</t>
  </si>
  <si>
    <t xml:space="preserve">Presilha</t>
  </si>
  <si>
    <t xml:space="preserve">Não informado</t>
  </si>
  <si>
    <t xml:space="preserve">Tornozeleira</t>
  </si>
  <si>
    <t xml:space="preserve">Marcos</t>
  </si>
  <si>
    <t xml:space="preserve">SIM</t>
  </si>
  <si>
    <t xml:space="preserve">data relativa ('ontem') sem referência: qual foi o dia?</t>
  </si>
  <si>
    <t xml:space="preserve">Kit presente</t>
  </si>
  <si>
    <t xml:space="preserve">Paula</t>
  </si>
  <si>
    <t xml:space="preserve">data relativa ('hj') sem referência: qual foi o dia?</t>
  </si>
  <si>
    <t xml:space="preserve">Bruno</t>
  </si>
  <si>
    <t xml:space="preserve">Cordao</t>
  </si>
  <si>
    <t xml:space="preserve">Tel. 31988887777</t>
  </si>
  <si>
    <t xml:space="preserve">nao anotei o nome</t>
  </si>
  <si>
    <t xml:space="preserve">formato americano, lida como 10/08/2026; só telefone, sem nome: quem é?</t>
  </si>
  <si>
    <t xml:space="preserve">Fiado</t>
  </si>
  <si>
    <t xml:space="preserve">Não</t>
  </si>
  <si>
    <t xml:space="preserve">cliente não identificado ('nao lembro')</t>
  </si>
  <si>
    <t xml:space="preserve">Lenco</t>
  </si>
  <si>
    <t xml:space="preserve">Diego</t>
  </si>
  <si>
    <t xml:space="preserve">Bolsa pequena</t>
  </si>
  <si>
    <t xml:space="preserve">Helena</t>
  </si>
  <si>
    <t xml:space="preserve">sem data</t>
  </si>
  <si>
    <t xml:space="preserve">Brinco pequeno</t>
  </si>
  <si>
    <t xml:space="preserve">Renata</t>
  </si>
  <si>
    <t xml:space="preserve">mandou zap</t>
  </si>
  <si>
    <t xml:space="preserve">Pulseira</t>
  </si>
  <si>
    <t xml:space="preserve">igual à linha original 16: lançou duas vezes?</t>
  </si>
  <si>
    <t xml:space="preserve">A vizinha</t>
  </si>
  <si>
    <t xml:space="preserve">data relativa ('segunda') sem referência: qual foi o dia?</t>
  </si>
  <si>
    <t xml:space="preserve">'35+12 frete': confirmar se R$ 35 já inclui o frete; cliente não identificado ('cliente')</t>
  </si>
  <si>
    <t xml:space="preserve">A do predio</t>
  </si>
  <si>
    <t xml:space="preserve">Tia da Ana</t>
  </si>
  <si>
    <t xml:space="preserve">formato americano, lida como 16/08/2026</t>
  </si>
  <si>
    <t xml:space="preserve">Tiara</t>
  </si>
  <si>
    <t xml:space="preserve">Menina do insta</t>
  </si>
  <si>
    <t xml:space="preserve">Seu Jorge</t>
  </si>
  <si>
    <t xml:space="preserve">data 12/03/2026 fora do período das outras vendas: confere?</t>
  </si>
  <si>
    <t xml:space="preserve">Colar dourado</t>
  </si>
  <si>
    <t xml:space="preserve">Brinco perola</t>
  </si>
  <si>
    <t xml:space="preserve">formato americano, lida como 20/08/2026</t>
  </si>
  <si>
    <t xml:space="preserve">Juliana</t>
  </si>
  <si>
    <t xml:space="preserve">era a Juliana</t>
  </si>
  <si>
    <t xml:space="preserve">código de rastreio estava no lugar do nome; cliente vem da obs ('era a Juliana')</t>
  </si>
  <si>
    <t xml:space="preserve">Chaveiro</t>
  </si>
  <si>
    <t xml:space="preserve">Bia</t>
  </si>
  <si>
    <t xml:space="preserve">pagou no pix</t>
  </si>
  <si>
    <t xml:space="preserve">formato americano, lida como 26/08/2026</t>
  </si>
  <si>
    <t xml:space="preserve">Felipe</t>
  </si>
  <si>
    <t xml:space="preserve">Aline</t>
  </si>
  <si>
    <t xml:space="preserve">formato americano, lida como 02/09/2026</t>
  </si>
  <si>
    <t xml:space="preserve">falou que paga semana que vem</t>
  </si>
  <si>
    <t xml:space="preserve">cliente não identificado ('a moca')</t>
  </si>
  <si>
    <t xml:space="preserve">formato americano, lida como 05/09/2026</t>
  </si>
  <si>
    <t xml:space="preserve">Camila</t>
  </si>
  <si>
    <t xml:space="preserve">sem valor</t>
  </si>
  <si>
    <t xml:space="preserve">formato americano, lida como 09/09/2026</t>
  </si>
  <si>
    <t xml:space="preserve">formato americano, lida como 12/09/2026</t>
  </si>
  <si>
    <t xml:space="preserve">cliente não identificado ('cliente')</t>
  </si>
  <si>
    <t xml:space="preserve">fica devendo</t>
  </si>
  <si>
    <t xml:space="preserve">formato americano, lida como 19/09/2026</t>
  </si>
  <si>
    <t xml:space="preserve">Tipo</t>
  </si>
  <si>
    <t xml:space="preserve">Compra de estoque</t>
  </si>
  <si>
    <t xml:space="preserve">Comprei 20 argolas no fornecedor</t>
  </si>
  <si>
    <t xml:space="preserve">Fornecedor</t>
  </si>
  <si>
    <t xml:space="preserve">nao e venda, e compra de estoque</t>
  </si>
  <si>
    <t xml:space="preserve">Devolução</t>
  </si>
  <si>
    <t xml:space="preserve">Devolveu pulseira</t>
  </si>
  <si>
    <t xml:space="preserve">devolveu e pegou o dinheiro de volta</t>
  </si>
  <si>
    <t xml:space="preserve">Compras de estoque e devoluções ficam aqui pra não entrarem na soma das vendas.</t>
  </si>
  <si>
    <t xml:space="preserve">data</t>
  </si>
  <si>
    <t xml:space="preserve">oq vendeu</t>
  </si>
  <si>
    <t xml:space="preserve">pra quem</t>
  </si>
  <si>
    <t xml:space="preserve">valor</t>
  </si>
  <si>
    <t xml:space="preserve">como pagou</t>
  </si>
  <si>
    <t xml:space="preserve">cartao</t>
  </si>
  <si>
    <t xml:space="preserve">vezes</t>
  </si>
  <si>
    <t xml:space="preserve">entrega ou loja</t>
  </si>
  <si>
    <t xml:space="preserve">rastreio</t>
  </si>
  <si>
    <t xml:space="preserve">obs</t>
  </si>
  <si>
    <t xml:space="preserve">04/08/2026</t>
  </si>
  <si>
    <t xml:space="preserve">brinco argola</t>
  </si>
  <si>
    <t xml:space="preserve">R$ 35</t>
  </si>
  <si>
    <t xml:space="preserve">pix</t>
  </si>
  <si>
    <t xml:space="preserve">loja</t>
  </si>
  <si>
    <t xml:space="preserve">4/8</t>
  </si>
  <si>
    <t xml:space="preserve">colar</t>
  </si>
  <si>
    <t xml:space="preserve">89</t>
  </si>
  <si>
    <t xml:space="preserve">dinheiro</t>
  </si>
  <si>
    <t xml:space="preserve">presencial</t>
  </si>
  <si>
    <t xml:space="preserve">05/08</t>
  </si>
  <si>
    <t xml:space="preserve">debito</t>
  </si>
  <si>
    <t xml:space="preserve">master</t>
  </si>
  <si>
    <t xml:space="preserve">1</t>
  </si>
  <si>
    <t xml:space="preserve">ela veio buscar</t>
  </si>
  <si>
    <t xml:space="preserve">2026-08-06</t>
  </si>
  <si>
    <t xml:space="preserve">anel</t>
  </si>
  <si>
    <t xml:space="preserve">25</t>
  </si>
  <si>
    <t xml:space="preserve">credito</t>
  </si>
  <si>
    <t xml:space="preserve">visa</t>
  </si>
  <si>
    <t xml:space="preserve">2</t>
  </si>
  <si>
    <t xml:space="preserve">correios</t>
  </si>
  <si>
    <t xml:space="preserve">8/6/26</t>
  </si>
  <si>
    <t xml:space="preserve">argola dourada</t>
  </si>
  <si>
    <t xml:space="preserve">35</t>
  </si>
  <si>
    <t xml:space="preserve">motoboy</t>
  </si>
  <si>
    <t xml:space="preserve">10/09/2026</t>
  </si>
  <si>
    <t xml:space="preserve">presilha</t>
  </si>
  <si>
    <t xml:space="preserve">15</t>
  </si>
  <si>
    <t xml:space="preserve">ontem</t>
  </si>
  <si>
    <t xml:space="preserve">tornozeleira</t>
  </si>
  <si>
    <t xml:space="preserve">28,00</t>
  </si>
  <si>
    <t xml:space="preserve">hj</t>
  </si>
  <si>
    <t xml:space="preserve">kit presente</t>
  </si>
  <si>
    <t xml:space="preserve">70</t>
  </si>
  <si>
    <t xml:space="preserve">11/09/2026</t>
  </si>
  <si>
    <t xml:space="preserve">brinc argola</t>
  </si>
  <si>
    <t xml:space="preserve">35,00</t>
  </si>
  <si>
    <t xml:space="preserve">8/10/26</t>
  </si>
  <si>
    <t xml:space="preserve">cordao</t>
  </si>
  <si>
    <t xml:space="preserve">31988887777</t>
  </si>
  <si>
    <t xml:space="preserve">55</t>
  </si>
  <si>
    <t xml:space="preserve">28/08</t>
  </si>
  <si>
    <t xml:space="preserve">nao lembro</t>
  </si>
  <si>
    <t xml:space="preserve">50</t>
  </si>
  <si>
    <t xml:space="preserve">fiado</t>
  </si>
  <si>
    <t xml:space="preserve">11/8</t>
  </si>
  <si>
    <t xml:space="preserve">lenco</t>
  </si>
  <si>
    <t xml:space="preserve">22</t>
  </si>
  <si>
    <t xml:space="preserve">bolsa pequena</t>
  </si>
  <si>
    <t xml:space="preserve">R$ 120</t>
  </si>
  <si>
    <t xml:space="preserve">2026-08-12</t>
  </si>
  <si>
    <t xml:space="preserve">brinco pequeno</t>
  </si>
  <si>
    <t xml:space="preserve">18</t>
  </si>
  <si>
    <t xml:space="preserve">05/09/2026</t>
  </si>
  <si>
    <t xml:space="preserve">pulseira</t>
  </si>
  <si>
    <t xml:space="preserve">40</t>
  </si>
  <si>
    <t xml:space="preserve">segunda</t>
  </si>
  <si>
    <t xml:space="preserve">a vizinha</t>
  </si>
  <si>
    <t xml:space="preserve">15/08</t>
  </si>
  <si>
    <t xml:space="preserve">cliente</t>
  </si>
  <si>
    <t xml:space="preserve">35+12 frete</t>
  </si>
  <si>
    <t xml:space="preserve">2026-08-16</t>
  </si>
  <si>
    <t xml:space="preserve">a do predio</t>
  </si>
  <si>
    <t xml:space="preserve">40,00</t>
  </si>
  <si>
    <t xml:space="preserve">maquinha</t>
  </si>
  <si>
    <t xml:space="preserve">3</t>
  </si>
  <si>
    <t xml:space="preserve">8/16/26</t>
  </si>
  <si>
    <t xml:space="preserve">tia da Ana</t>
  </si>
  <si>
    <t xml:space="preserve">credito 3x visa</t>
  </si>
  <si>
    <t xml:space="preserve">17/08/2026</t>
  </si>
  <si>
    <t xml:space="preserve">tiara</t>
  </si>
  <si>
    <t xml:space="preserve">menina do insta</t>
  </si>
  <si>
    <t xml:space="preserve">R$ 30</t>
  </si>
  <si>
    <t xml:space="preserve">12/3</t>
  </si>
  <si>
    <t xml:space="preserve">18/08</t>
  </si>
  <si>
    <t xml:space="preserve">14/09/2026</t>
  </si>
  <si>
    <t xml:space="preserve">colar dourado</t>
  </si>
  <si>
    <t xml:space="preserve">R$ 89</t>
  </si>
  <si>
    <t xml:space="preserve">8/20/26</t>
  </si>
  <si>
    <t xml:space="preserve">brinco perola</t>
  </si>
  <si>
    <t xml:space="preserve">R$ 45</t>
  </si>
  <si>
    <t xml:space="preserve">15/09</t>
  </si>
  <si>
    <t xml:space="preserve">21/8</t>
  </si>
  <si>
    <t xml:space="preserve">chaveiro</t>
  </si>
  <si>
    <t xml:space="preserve">12,00</t>
  </si>
  <si>
    <t xml:space="preserve">22/08</t>
  </si>
  <si>
    <t xml:space="preserve">2026-08-22</t>
  </si>
  <si>
    <t xml:space="preserve">12 de marco</t>
  </si>
  <si>
    <t xml:space="preserve">24/08/2026</t>
  </si>
  <si>
    <t xml:space="preserve">02/09/2026</t>
  </si>
  <si>
    <t xml:space="preserve">comprei 20 argolas no fornecedor</t>
  </si>
  <si>
    <t xml:space="preserve">fornecedor</t>
  </si>
  <si>
    <t xml:space="preserve">200</t>
  </si>
  <si>
    <t xml:space="preserve">25/08</t>
  </si>
  <si>
    <t xml:space="preserve">2026-08-26</t>
  </si>
  <si>
    <t xml:space="preserve">8/26/26</t>
  </si>
  <si>
    <t xml:space="preserve">27/08/2026</t>
  </si>
  <si>
    <t xml:space="preserve">28/8</t>
  </si>
  <si>
    <t xml:space="preserve">2026-08-29</t>
  </si>
  <si>
    <t xml:space="preserve">30/08/2026</t>
  </si>
  <si>
    <t xml:space="preserve">31/8</t>
  </si>
  <si>
    <t xml:space="preserve">12/09/2026</t>
  </si>
  <si>
    <t xml:space="preserve">sedex</t>
  </si>
  <si>
    <t xml:space="preserve">9/2/26</t>
  </si>
  <si>
    <t xml:space="preserve">03/09/2026</t>
  </si>
  <si>
    <t xml:space="preserve">16/09</t>
  </si>
  <si>
    <t xml:space="preserve">a moca</t>
  </si>
  <si>
    <t xml:space="preserve">30</t>
  </si>
  <si>
    <t xml:space="preserve">depois paga</t>
  </si>
  <si>
    <t xml:space="preserve">04/09</t>
  </si>
  <si>
    <t xml:space="preserve">2026-09-05</t>
  </si>
  <si>
    <t xml:space="preserve">9/5/26</t>
  </si>
  <si>
    <t xml:space="preserve">18/09</t>
  </si>
  <si>
    <t xml:space="preserve">devolveu pulseira</t>
  </si>
  <si>
    <t xml:space="preserve">-40</t>
  </si>
  <si>
    <t xml:space="preserve">7/9</t>
  </si>
  <si>
    <t xml:space="preserve">07/09</t>
  </si>
  <si>
    <t xml:space="preserve">2026-09-08</t>
  </si>
  <si>
    <t xml:space="preserve">9/9/26</t>
  </si>
  <si>
    <t xml:space="preserve">09/09/2026</t>
  </si>
  <si>
    <t xml:space="preserve">10/9</t>
  </si>
  <si>
    <t xml:space="preserve">11/09</t>
  </si>
  <si>
    <t xml:space="preserve">2026-09-11</t>
  </si>
  <si>
    <t xml:space="preserve">9/12/26</t>
  </si>
  <si>
    <t xml:space="preserve">13/09/2026</t>
  </si>
  <si>
    <t xml:space="preserve">13/9</t>
  </si>
  <si>
    <t xml:space="preserve">14/09</t>
  </si>
  <si>
    <t xml:space="preserve">2026-09-15</t>
  </si>
  <si>
    <t xml:space="preserve">24/09</t>
  </si>
  <si>
    <t xml:space="preserve">80</t>
  </si>
  <si>
    <t xml:space="preserve">16/09/2026</t>
  </si>
  <si>
    <t xml:space="preserve">17/9</t>
  </si>
  <si>
    <t xml:space="preserve">17/09</t>
  </si>
  <si>
    <t xml:space="preserve">26/09</t>
  </si>
  <si>
    <t xml:space="preserve">55,00</t>
  </si>
  <si>
    <t xml:space="preserve">9/19/26</t>
  </si>
  <si>
    <t xml:space="preserve">19/09/2026</t>
  </si>
  <si>
    <t xml:space="preserve">20/9</t>
  </si>
  <si>
    <t xml:space="preserve"> 2</t>
  </si>
  <si>
    <t xml:space="preserve">Sua planilha do jeito que estava, sem mexer. 'Nº original' aparece na aba Vendas pra você conferir.</t>
  </si>
  <si>
    <t xml:space="preserve">Como usar esta planilha</t>
  </si>
  <si>
    <t xml:space="preserve">1. Pra registrar uma venda, use o assistente (o aplicativo de conversa): você só conta o que vendeu e ele anota aqui.</t>
  </si>
  <si>
    <t xml:space="preserve">2. Se preferir anotar direto, use a aba Vendas: vai escrevendo na próxima linha vazia. Pagamento, cartão, entrega e 'Recebido?' têm uma setinha com a lista pra escolher.</t>
  </si>
  <si>
    <t xml:space="preserve">3. A aba Resumo responde sozinha: quanto vendi hoje, no mês, quem me deve e o que está no correio.</t>
  </si>
  <si>
    <t xml:space="preserve">4. Linha amarela com 'Confirmar? = SIM' é uma venda antiga que o sistema não teve certeza. A coluna 'Nota do sistema' diz o que conferir. Depois de conferir, apaga o SIM.</t>
  </si>
  <si>
    <t xml:space="preserve">5. Compra de estoque e devolução ficam na aba 'Não é venda', pra não bagunçar a soma.</t>
  </si>
  <si>
    <t xml:space="preserve">6. A aba Original é a sua planilha de antes, intocada. Nada se perdeu.</t>
  </si>
  <si>
    <t xml:space="preserve">Cores: cabeçalho azul = colunas; linha amarela = conferir; aba Original em cinza = histórico.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</si>
</sst>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dd/mm/yyyy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5496"/>
      <name val="Arial"/>
      <family val="0"/>
      <charset val="1"/>
    </font>
    <font>
      <i val="true"/>
      <sz val="10"/>
      <color rgb="FF8C8C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25496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C8C8C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5496"/>
        <bgColor rgb="FF333399"/>
      </patternFill>
    </fill>
    <fill>
      <patternFill patternType="solid">
        <fgColor rgb="FF3A9AD9"/>
        <bgColor rgb="FF33CCCC"/>
      </patternFill>
    </fill>
    <fill>
      <patternFill patternType="solid">
        <fgColor rgb="FFE3F2FB"/>
        <bgColor rgb="FFD9E2EC"/>
      </patternFill>
    </fill>
    <fill>
      <patternFill patternType="solid">
        <fgColor rgb="FFFFF4CC"/>
        <bgColor rgb="FFFFFFFF"/>
      </patternFill>
    </fill>
    <fill>
      <patternFill patternType="solid">
        <fgColor rgb="FF8C8C8C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25496"/>
          <bgColor rgb="FF000000"/>
        </patternFill>
      </fill>
    </dxf>
    <dxf>
      <fill>
        <patternFill patternType="solid">
          <fgColor rgb="FFE3F2FB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>
          <bgColor rgb="FFFFF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3F2FB"/>
      <rgbColor rgb="FF660066"/>
      <rgbColor rgb="FFFF8080"/>
      <rgbColor rgb="FF125496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A9AD9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5496"/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SUM(Vendas!$D$2:$D$10000)</f>
        <v>2980</v>
      </c>
      <c r="D5" s="5" t="s">
        <v>8</v>
      </c>
      <c r="E5" s="7" t="n">
        <f aca="false">SUMIFS(Vendas!$D:$D,Vendas!$C:$C,D5,Vendas!$K:$K,"Não")</f>
        <v>30</v>
      </c>
      <c r="F5" s="8" t="n">
        <f aca="false">IFERROR(_xlfn.MINIFS(Vendas!$A:$A,Vendas!$C:$C,D5,Vendas!$K:$K,"Não"),"")</f>
        <v>46281</v>
      </c>
    </row>
    <row r="6" customFormat="false" ht="15" hidden="false" customHeight="false" outlineLevel="0" collapsed="false">
      <c r="A6" s="9" t="s">
        <v>9</v>
      </c>
      <c r="B6" s="10" t="n">
        <f aca="false">COUNTA(Vendas!$B:$B)-1</f>
        <v>69</v>
      </c>
      <c r="D6" s="5" t="s">
        <v>10</v>
      </c>
      <c r="E6" s="7" t="n">
        <f aca="false">SUMIFS(Vendas!$D:$D,Vendas!$C:$C,D6,Vendas!$K:$K,"Não")</f>
        <v>50</v>
      </c>
      <c r="F6" s="8" t="n">
        <f aca="false">IFERROR(_xlfn.MINIFS(Vendas!$A:$A,Vendas!$C:$C,D6,Vendas!$K:$K,"Não"),"")</f>
        <v>46262</v>
      </c>
    </row>
    <row r="7" customFormat="false" ht="15" hidden="false" customHeight="false" outlineLevel="0" collapsed="false">
      <c r="A7" s="5" t="s">
        <v>11</v>
      </c>
      <c r="B7" s="6" t="n">
        <f aca="true">SUMIFS(Vendas!$D:$D,Vendas!$A:$A,TODAY())</f>
        <v>0</v>
      </c>
      <c r="D7" s="5" t="s">
        <v>12</v>
      </c>
      <c r="E7" s="7" t="n">
        <f aca="false">SUMIFS(Vendas!$D:$D,Vendas!$C:$C,D7,Vendas!$K:$K,"Não")</f>
        <v>80</v>
      </c>
      <c r="F7" s="8" t="n">
        <f aca="false">IFERROR(_xlfn.MINIFS(Vendas!$A:$A,Vendas!$C:$C,D7,Vendas!$K:$K,"Não"),"")</f>
        <v>46289</v>
      </c>
    </row>
    <row r="8" customFormat="false" ht="15" hidden="false" customHeight="false" outlineLevel="0" collapsed="false">
      <c r="A8" s="9" t="s">
        <v>13</v>
      </c>
      <c r="B8" s="11" t="n">
        <f aca="true">SUMIFS(Vendas!$D:$D,Vendas!$A:$A,"&gt;="&amp;DATE(YEAR(TODAY()),MONTH(TODAY()),1),Vendas!$A:$A,"&lt;="&amp;EOMONTH(TODAY(),0))</f>
        <v>0</v>
      </c>
      <c r="D8" s="12" t="s">
        <v>14</v>
      </c>
      <c r="E8" s="6" t="n">
        <f aca="false">SUM(E5:E7)</f>
        <v>160</v>
      </c>
    </row>
    <row r="9" customFormat="false" ht="15" hidden="false" customHeight="false" outlineLevel="0" collapsed="false">
      <c r="A9" s="5" t="s">
        <v>15</v>
      </c>
      <c r="B9" s="6" t="n">
        <f aca="false">SUMIFS(Vendas!$D:$D,Vendas!$A:$A,"&gt;="&amp;DATE(2026,9,1),Vendas!$A:$A,"&lt;="&amp;DATE(2026,9,30))</f>
        <v>1554</v>
      </c>
      <c r="D9" s="13" t="s">
        <v>16</v>
      </c>
    </row>
    <row r="10" customFormat="false" ht="15" hidden="false" customHeight="false" outlineLevel="0" collapsed="false">
      <c r="A10" s="9" t="s">
        <v>17</v>
      </c>
      <c r="B10" s="11" t="n">
        <f aca="false">SUMIFS(Vendas!$D:$D,Vendas!$A:$A,"&gt;="&amp;DATE(2026,8,1),Vendas!$A:$A,"&lt;="&amp;DATE(2026,8,31))</f>
        <v>1118</v>
      </c>
    </row>
    <row r="11" customFormat="false" ht="15" hidden="false" customHeight="false" outlineLevel="0" collapsed="false">
      <c r="A11" s="5" t="s">
        <v>18</v>
      </c>
      <c r="B11" s="6" t="n">
        <f aca="false">SUMIFS(Vendas!$D:$D,Vendas!$K:$K,"Não")</f>
        <v>160</v>
      </c>
      <c r="D11" s="4" t="s">
        <v>19</v>
      </c>
      <c r="E11" s="4" t="s">
        <v>20</v>
      </c>
      <c r="F11" s="4" t="s">
        <v>21</v>
      </c>
    </row>
    <row r="12" customFormat="false" ht="15" hidden="false" customHeight="false" outlineLevel="0" collapsed="false">
      <c r="A12" s="9" t="s">
        <v>22</v>
      </c>
      <c r="B12" s="10" t="n">
        <f aca="false">COUNTIF(Vendas!$J$2:$J$10000,"??*")</f>
        <v>4</v>
      </c>
      <c r="D12" s="5" t="s">
        <v>23</v>
      </c>
      <c r="E12" s="5" t="s">
        <v>24</v>
      </c>
      <c r="F12" s="8" t="n">
        <v>46279</v>
      </c>
    </row>
    <row r="13" customFormat="false" ht="15" hidden="false" customHeight="false" outlineLevel="0" collapsed="false">
      <c r="A13" s="5" t="s">
        <v>25</v>
      </c>
      <c r="B13" s="14" t="n">
        <f aca="false">COUNTIF(Vendas!$M:$M,"SIM")</f>
        <v>14</v>
      </c>
      <c r="D13" s="5" t="s">
        <v>26</v>
      </c>
      <c r="E13" s="5" t="s">
        <v>27</v>
      </c>
      <c r="F13" s="8" t="n">
        <v>46280</v>
      </c>
    </row>
    <row r="14" customFormat="false" ht="15" hidden="false" customHeight="false" outlineLevel="0" collapsed="false">
      <c r="A14" s="13" t="s">
        <v>28</v>
      </c>
      <c r="D14" s="5" t="s">
        <v>29</v>
      </c>
      <c r="E14" s="5" t="s">
        <v>30</v>
      </c>
      <c r="F14" s="8" t="n">
        <v>46277</v>
      </c>
    </row>
    <row r="15" customFormat="false" ht="15" hidden="false" customHeight="false" outlineLevel="0" collapsed="false">
      <c r="D15" s="5" t="s">
        <v>31</v>
      </c>
      <c r="E15" s="5" t="s">
        <v>32</v>
      </c>
      <c r="F15" s="8" t="n">
        <v>46291</v>
      </c>
    </row>
    <row r="16" customFormat="false" ht="15" hidden="false" customHeight="false" outlineLevel="0" collapsed="false">
      <c r="D16" s="1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AD9"/>
    <pageSetUpPr fitToPage="false"/>
  </sheetPr>
  <dimension ref="A1:O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11"/>
    <col collapsed="false" customWidth="true" hidden="false" outlineLevel="0" max="14" min="14" style="0" width="58"/>
    <col collapsed="false" customWidth="true" hidden="false" outlineLevel="0" max="15" min="15" style="0" width="11"/>
  </cols>
  <sheetData>
    <row r="1" customFormat="false" ht="21.75" hidden="false" customHeight="tru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</row>
    <row r="2" customFormat="false" ht="15" hidden="false" customHeight="false" outlineLevel="0" collapsed="false">
      <c r="A2" s="15" t="n">
        <v>46238</v>
      </c>
      <c r="B2" s="16" t="s">
        <v>49</v>
      </c>
      <c r="C2" s="16" t="s">
        <v>50</v>
      </c>
      <c r="D2" s="17" t="n">
        <v>35</v>
      </c>
      <c r="E2" s="17"/>
      <c r="F2" s="16" t="s">
        <v>51</v>
      </c>
      <c r="G2" s="18"/>
      <c r="H2" s="18"/>
      <c r="I2" s="16" t="s">
        <v>52</v>
      </c>
      <c r="J2" s="16"/>
      <c r="K2" s="18" t="s">
        <v>53</v>
      </c>
      <c r="L2" s="16" t="s">
        <v>54</v>
      </c>
      <c r="M2" s="18"/>
      <c r="N2" s="19"/>
      <c r="O2" s="18" t="n">
        <v>2</v>
      </c>
    </row>
    <row r="3" customFormat="false" ht="15" hidden="false" customHeight="false" outlineLevel="0" collapsed="false">
      <c r="A3" s="20" t="n">
        <v>46238</v>
      </c>
      <c r="B3" s="21" t="s">
        <v>55</v>
      </c>
      <c r="C3" s="21" t="s">
        <v>56</v>
      </c>
      <c r="D3" s="22" t="n">
        <v>89</v>
      </c>
      <c r="E3" s="22"/>
      <c r="F3" s="21" t="s">
        <v>57</v>
      </c>
      <c r="G3" s="23"/>
      <c r="H3" s="23"/>
      <c r="I3" s="21" t="s">
        <v>52</v>
      </c>
      <c r="J3" s="21"/>
      <c r="K3" s="23" t="s">
        <v>53</v>
      </c>
      <c r="L3" s="21"/>
      <c r="M3" s="23"/>
      <c r="N3" s="24"/>
      <c r="O3" s="23" t="n">
        <v>3</v>
      </c>
    </row>
    <row r="4" customFormat="false" ht="15" hidden="false" customHeight="false" outlineLevel="0" collapsed="false">
      <c r="A4" s="15" t="n">
        <v>46239</v>
      </c>
      <c r="B4" s="16" t="s">
        <v>49</v>
      </c>
      <c r="C4" s="16" t="s">
        <v>58</v>
      </c>
      <c r="D4" s="17" t="n">
        <v>35</v>
      </c>
      <c r="E4" s="17"/>
      <c r="F4" s="16" t="s">
        <v>59</v>
      </c>
      <c r="G4" s="18" t="s">
        <v>60</v>
      </c>
      <c r="H4" s="18" t="n">
        <v>1</v>
      </c>
      <c r="I4" s="16" t="s">
        <v>52</v>
      </c>
      <c r="J4" s="16"/>
      <c r="K4" s="18" t="s">
        <v>53</v>
      </c>
      <c r="L4" s="16"/>
      <c r="M4" s="18"/>
      <c r="N4" s="19"/>
      <c r="O4" s="18" t="n">
        <v>4</v>
      </c>
    </row>
    <row r="5" customFormat="false" ht="15" hidden="false" customHeight="false" outlineLevel="0" collapsed="false">
      <c r="A5" s="20" t="n">
        <v>46240</v>
      </c>
      <c r="B5" s="21" t="s">
        <v>61</v>
      </c>
      <c r="C5" s="21" t="s">
        <v>62</v>
      </c>
      <c r="D5" s="22" t="n">
        <v>25</v>
      </c>
      <c r="E5" s="22"/>
      <c r="F5" s="21" t="s">
        <v>63</v>
      </c>
      <c r="G5" s="23" t="s">
        <v>64</v>
      </c>
      <c r="H5" s="23" t="n">
        <v>2</v>
      </c>
      <c r="I5" s="21" t="s">
        <v>65</v>
      </c>
      <c r="J5" s="21"/>
      <c r="K5" s="23" t="s">
        <v>53</v>
      </c>
      <c r="L5" s="21"/>
      <c r="M5" s="23"/>
      <c r="N5" s="24"/>
      <c r="O5" s="23" t="n">
        <v>5</v>
      </c>
    </row>
    <row r="6" customFormat="false" ht="15" hidden="false" customHeight="false" outlineLevel="0" collapsed="false">
      <c r="A6" s="15" t="n">
        <v>46240</v>
      </c>
      <c r="B6" s="16" t="s">
        <v>66</v>
      </c>
      <c r="C6" s="16" t="s">
        <v>67</v>
      </c>
      <c r="D6" s="17" t="n">
        <v>35</v>
      </c>
      <c r="E6" s="17"/>
      <c r="F6" s="16" t="s">
        <v>51</v>
      </c>
      <c r="G6" s="18"/>
      <c r="H6" s="18"/>
      <c r="I6" s="16" t="s">
        <v>68</v>
      </c>
      <c r="J6" s="16"/>
      <c r="K6" s="18" t="s">
        <v>53</v>
      </c>
      <c r="L6" s="16"/>
      <c r="M6" s="18"/>
      <c r="N6" s="19" t="s">
        <v>69</v>
      </c>
      <c r="O6" s="18" t="n">
        <v>6</v>
      </c>
    </row>
    <row r="7" customFormat="false" ht="15" hidden="false" customHeight="false" outlineLevel="0" collapsed="false">
      <c r="A7" s="20" t="n">
        <v>46275</v>
      </c>
      <c r="B7" s="21" t="s">
        <v>70</v>
      </c>
      <c r="C7" s="21" t="s">
        <v>12</v>
      </c>
      <c r="D7" s="22" t="n">
        <v>15</v>
      </c>
      <c r="E7" s="22"/>
      <c r="F7" s="21" t="s">
        <v>57</v>
      </c>
      <c r="G7" s="23"/>
      <c r="H7" s="23"/>
      <c r="I7" s="21" t="s">
        <v>71</v>
      </c>
      <c r="J7" s="21"/>
      <c r="K7" s="23" t="s">
        <v>53</v>
      </c>
      <c r="L7" s="21"/>
      <c r="M7" s="23"/>
      <c r="N7" s="24"/>
      <c r="O7" s="23" t="n">
        <v>7</v>
      </c>
    </row>
    <row r="8" customFormat="false" ht="15" hidden="false" customHeight="false" outlineLevel="0" collapsed="false">
      <c r="A8" s="25"/>
      <c r="B8" s="26" t="s">
        <v>72</v>
      </c>
      <c r="C8" s="26" t="s">
        <v>73</v>
      </c>
      <c r="D8" s="27" t="n">
        <v>28</v>
      </c>
      <c r="E8" s="27"/>
      <c r="F8" s="26" t="s">
        <v>59</v>
      </c>
      <c r="G8" s="28" t="s">
        <v>60</v>
      </c>
      <c r="H8" s="28" t="n">
        <v>1</v>
      </c>
      <c r="I8" s="26" t="s">
        <v>52</v>
      </c>
      <c r="J8" s="26"/>
      <c r="K8" s="28" t="s">
        <v>53</v>
      </c>
      <c r="L8" s="26"/>
      <c r="M8" s="29" t="s">
        <v>74</v>
      </c>
      <c r="N8" s="30" t="s">
        <v>75</v>
      </c>
      <c r="O8" s="28" t="n">
        <v>8</v>
      </c>
    </row>
    <row r="9" customFormat="false" ht="15" hidden="false" customHeight="false" outlineLevel="0" collapsed="false">
      <c r="A9" s="25"/>
      <c r="B9" s="26" t="s">
        <v>76</v>
      </c>
      <c r="C9" s="26" t="s">
        <v>77</v>
      </c>
      <c r="D9" s="27" t="n">
        <v>70</v>
      </c>
      <c r="E9" s="27"/>
      <c r="F9" s="26" t="s">
        <v>63</v>
      </c>
      <c r="G9" s="28" t="s">
        <v>64</v>
      </c>
      <c r="H9" s="28" t="n">
        <v>2</v>
      </c>
      <c r="I9" s="26" t="s">
        <v>52</v>
      </c>
      <c r="J9" s="26"/>
      <c r="K9" s="28" t="s">
        <v>53</v>
      </c>
      <c r="L9" s="26"/>
      <c r="M9" s="29" t="s">
        <v>74</v>
      </c>
      <c r="N9" s="30" t="s">
        <v>78</v>
      </c>
      <c r="O9" s="28" t="n">
        <v>9</v>
      </c>
    </row>
    <row r="10" customFormat="false" ht="15" hidden="false" customHeight="false" outlineLevel="0" collapsed="false">
      <c r="A10" s="15" t="n">
        <v>46276</v>
      </c>
      <c r="B10" s="16" t="s">
        <v>49</v>
      </c>
      <c r="C10" s="16" t="s">
        <v>79</v>
      </c>
      <c r="D10" s="17" t="n">
        <v>35</v>
      </c>
      <c r="E10" s="17"/>
      <c r="F10" s="16" t="s">
        <v>51</v>
      </c>
      <c r="G10" s="18"/>
      <c r="H10" s="18"/>
      <c r="I10" s="16" t="s">
        <v>52</v>
      </c>
      <c r="J10" s="16"/>
      <c r="K10" s="18" t="s">
        <v>53</v>
      </c>
      <c r="L10" s="16"/>
      <c r="M10" s="18"/>
      <c r="N10" s="19"/>
      <c r="O10" s="18" t="n">
        <v>10</v>
      </c>
    </row>
    <row r="11" customFormat="false" ht="15" hidden="false" customHeight="false" outlineLevel="0" collapsed="false">
      <c r="A11" s="25" t="n">
        <v>46244</v>
      </c>
      <c r="B11" s="26" t="s">
        <v>80</v>
      </c>
      <c r="C11" s="26" t="s">
        <v>81</v>
      </c>
      <c r="D11" s="27" t="n">
        <v>55</v>
      </c>
      <c r="E11" s="27"/>
      <c r="F11" s="26" t="s">
        <v>57</v>
      </c>
      <c r="G11" s="28"/>
      <c r="H11" s="28"/>
      <c r="I11" s="26" t="s">
        <v>65</v>
      </c>
      <c r="J11" s="26"/>
      <c r="K11" s="28" t="s">
        <v>53</v>
      </c>
      <c r="L11" s="26" t="s">
        <v>82</v>
      </c>
      <c r="M11" s="29" t="s">
        <v>74</v>
      </c>
      <c r="N11" s="30" t="s">
        <v>83</v>
      </c>
      <c r="O11" s="28" t="n">
        <v>11</v>
      </c>
    </row>
    <row r="12" customFormat="false" ht="15" hidden="false" customHeight="false" outlineLevel="0" collapsed="false">
      <c r="A12" s="25" t="n">
        <v>46262</v>
      </c>
      <c r="B12" s="26" t="s">
        <v>61</v>
      </c>
      <c r="C12" s="26" t="s">
        <v>10</v>
      </c>
      <c r="D12" s="27" t="n">
        <v>50</v>
      </c>
      <c r="E12" s="27"/>
      <c r="F12" s="26" t="s">
        <v>84</v>
      </c>
      <c r="G12" s="28"/>
      <c r="H12" s="28"/>
      <c r="I12" s="26" t="s">
        <v>52</v>
      </c>
      <c r="J12" s="26"/>
      <c r="K12" s="28" t="s">
        <v>85</v>
      </c>
      <c r="L12" s="26"/>
      <c r="M12" s="29" t="s">
        <v>74</v>
      </c>
      <c r="N12" s="30" t="s">
        <v>86</v>
      </c>
      <c r="O12" s="28" t="n">
        <v>12</v>
      </c>
    </row>
    <row r="13" customFormat="false" ht="15" hidden="false" customHeight="false" outlineLevel="0" collapsed="false">
      <c r="A13" s="20" t="n">
        <v>46245</v>
      </c>
      <c r="B13" s="21" t="s">
        <v>87</v>
      </c>
      <c r="C13" s="21" t="s">
        <v>88</v>
      </c>
      <c r="D13" s="22" t="n">
        <v>22</v>
      </c>
      <c r="E13" s="22"/>
      <c r="F13" s="21" t="s">
        <v>63</v>
      </c>
      <c r="G13" s="23" t="s">
        <v>64</v>
      </c>
      <c r="H13" s="23" t="n">
        <v>2</v>
      </c>
      <c r="I13" s="21" t="s">
        <v>71</v>
      </c>
      <c r="J13" s="21"/>
      <c r="K13" s="23" t="s">
        <v>53</v>
      </c>
      <c r="L13" s="21" t="s">
        <v>54</v>
      </c>
      <c r="M13" s="23"/>
      <c r="N13" s="24"/>
      <c r="O13" s="23" t="n">
        <v>13</v>
      </c>
    </row>
    <row r="14" customFormat="false" ht="15" hidden="false" customHeight="false" outlineLevel="0" collapsed="false">
      <c r="A14" s="25"/>
      <c r="B14" s="26" t="s">
        <v>89</v>
      </c>
      <c r="C14" s="26" t="s">
        <v>90</v>
      </c>
      <c r="D14" s="27" t="n">
        <v>120</v>
      </c>
      <c r="E14" s="27"/>
      <c r="F14" s="26" t="s">
        <v>51</v>
      </c>
      <c r="G14" s="28"/>
      <c r="H14" s="28"/>
      <c r="I14" s="26" t="s">
        <v>52</v>
      </c>
      <c r="J14" s="26"/>
      <c r="K14" s="28" t="s">
        <v>53</v>
      </c>
      <c r="L14" s="26"/>
      <c r="M14" s="29" t="s">
        <v>74</v>
      </c>
      <c r="N14" s="30" t="s">
        <v>91</v>
      </c>
      <c r="O14" s="28" t="n">
        <v>14</v>
      </c>
    </row>
    <row r="15" customFormat="false" ht="15" hidden="false" customHeight="false" outlineLevel="0" collapsed="false">
      <c r="A15" s="20" t="n">
        <v>46246</v>
      </c>
      <c r="B15" s="21" t="s">
        <v>92</v>
      </c>
      <c r="C15" s="21" t="s">
        <v>93</v>
      </c>
      <c r="D15" s="22" t="n">
        <v>18</v>
      </c>
      <c r="E15" s="22"/>
      <c r="F15" s="21" t="s">
        <v>57</v>
      </c>
      <c r="G15" s="23"/>
      <c r="H15" s="23"/>
      <c r="I15" s="21" t="s">
        <v>52</v>
      </c>
      <c r="J15" s="21"/>
      <c r="K15" s="23" t="s">
        <v>53</v>
      </c>
      <c r="L15" s="21" t="s">
        <v>94</v>
      </c>
      <c r="M15" s="23"/>
      <c r="N15" s="24"/>
      <c r="O15" s="23" t="n">
        <v>15</v>
      </c>
    </row>
    <row r="16" customFormat="false" ht="15" hidden="false" customHeight="false" outlineLevel="0" collapsed="false">
      <c r="A16" s="15" t="n">
        <v>46270</v>
      </c>
      <c r="B16" s="16" t="s">
        <v>95</v>
      </c>
      <c r="C16" s="16" t="s">
        <v>56</v>
      </c>
      <c r="D16" s="17" t="n">
        <v>40</v>
      </c>
      <c r="E16" s="17"/>
      <c r="F16" s="16" t="s">
        <v>51</v>
      </c>
      <c r="G16" s="18"/>
      <c r="H16" s="18"/>
      <c r="I16" s="16" t="s">
        <v>52</v>
      </c>
      <c r="J16" s="16"/>
      <c r="K16" s="18" t="s">
        <v>53</v>
      </c>
      <c r="L16" s="16"/>
      <c r="M16" s="18"/>
      <c r="N16" s="19"/>
      <c r="O16" s="18" t="n">
        <v>16</v>
      </c>
    </row>
    <row r="17" customFormat="false" ht="15" hidden="false" customHeight="false" outlineLevel="0" collapsed="false">
      <c r="A17" s="25" t="n">
        <v>46270</v>
      </c>
      <c r="B17" s="26" t="s">
        <v>95</v>
      </c>
      <c r="C17" s="26" t="s">
        <v>56</v>
      </c>
      <c r="D17" s="27" t="n">
        <v>40</v>
      </c>
      <c r="E17" s="27"/>
      <c r="F17" s="26" t="s">
        <v>51</v>
      </c>
      <c r="G17" s="28"/>
      <c r="H17" s="28"/>
      <c r="I17" s="26" t="s">
        <v>52</v>
      </c>
      <c r="J17" s="26"/>
      <c r="K17" s="28" t="s">
        <v>53</v>
      </c>
      <c r="L17" s="26"/>
      <c r="M17" s="29" t="s">
        <v>74</v>
      </c>
      <c r="N17" s="30" t="s">
        <v>96</v>
      </c>
      <c r="O17" s="28" t="n">
        <v>17</v>
      </c>
    </row>
    <row r="18" customFormat="false" ht="15" hidden="false" customHeight="false" outlineLevel="0" collapsed="false">
      <c r="A18" s="25"/>
      <c r="B18" s="26" t="s">
        <v>49</v>
      </c>
      <c r="C18" s="26" t="s">
        <v>97</v>
      </c>
      <c r="D18" s="27" t="n">
        <v>35</v>
      </c>
      <c r="E18" s="27"/>
      <c r="F18" s="26" t="s">
        <v>51</v>
      </c>
      <c r="G18" s="28"/>
      <c r="H18" s="28"/>
      <c r="I18" s="26" t="s">
        <v>68</v>
      </c>
      <c r="J18" s="26"/>
      <c r="K18" s="28" t="s">
        <v>53</v>
      </c>
      <c r="L18" s="26"/>
      <c r="M18" s="29" t="s">
        <v>74</v>
      </c>
      <c r="N18" s="30" t="s">
        <v>98</v>
      </c>
      <c r="O18" s="28" t="n">
        <v>18</v>
      </c>
    </row>
    <row r="19" customFormat="false" ht="15" hidden="false" customHeight="false" outlineLevel="0" collapsed="false">
      <c r="A19" s="25" t="n">
        <v>46249</v>
      </c>
      <c r="B19" s="26" t="s">
        <v>49</v>
      </c>
      <c r="C19" s="26" t="s">
        <v>36</v>
      </c>
      <c r="D19" s="27" t="n">
        <v>35</v>
      </c>
      <c r="E19" s="27" t="n">
        <v>12</v>
      </c>
      <c r="F19" s="26" t="s">
        <v>57</v>
      </c>
      <c r="G19" s="28"/>
      <c r="H19" s="28"/>
      <c r="I19" s="26" t="s">
        <v>71</v>
      </c>
      <c r="J19" s="26"/>
      <c r="K19" s="28" t="s">
        <v>53</v>
      </c>
      <c r="L19" s="26"/>
      <c r="M19" s="29" t="s">
        <v>74</v>
      </c>
      <c r="N19" s="30" t="s">
        <v>99</v>
      </c>
      <c r="O19" s="28" t="n">
        <v>19</v>
      </c>
    </row>
    <row r="20" customFormat="false" ht="15" hidden="false" customHeight="false" outlineLevel="0" collapsed="false">
      <c r="A20" s="15" t="n">
        <v>46250</v>
      </c>
      <c r="B20" s="16" t="s">
        <v>95</v>
      </c>
      <c r="C20" s="16" t="s">
        <v>100</v>
      </c>
      <c r="D20" s="17" t="n">
        <v>40</v>
      </c>
      <c r="E20" s="17"/>
      <c r="F20" s="16" t="s">
        <v>63</v>
      </c>
      <c r="G20" s="18" t="s">
        <v>64</v>
      </c>
      <c r="H20" s="18" t="n">
        <v>3</v>
      </c>
      <c r="I20" s="16" t="s">
        <v>52</v>
      </c>
      <c r="J20" s="16"/>
      <c r="K20" s="18" t="s">
        <v>53</v>
      </c>
      <c r="L20" s="16"/>
      <c r="M20" s="18"/>
      <c r="N20" s="19"/>
      <c r="O20" s="18" t="n">
        <v>20</v>
      </c>
    </row>
    <row r="21" customFormat="false" ht="15" hidden="false" customHeight="false" outlineLevel="0" collapsed="false">
      <c r="A21" s="20" t="n">
        <v>46250</v>
      </c>
      <c r="B21" s="21" t="s">
        <v>61</v>
      </c>
      <c r="C21" s="21" t="s">
        <v>101</v>
      </c>
      <c r="D21" s="22" t="n">
        <v>25</v>
      </c>
      <c r="E21" s="22"/>
      <c r="F21" s="21" t="s">
        <v>63</v>
      </c>
      <c r="G21" s="23" t="s">
        <v>64</v>
      </c>
      <c r="H21" s="23" t="n">
        <v>3</v>
      </c>
      <c r="I21" s="21" t="s">
        <v>52</v>
      </c>
      <c r="J21" s="21"/>
      <c r="K21" s="23" t="s">
        <v>53</v>
      </c>
      <c r="L21" s="21"/>
      <c r="M21" s="23"/>
      <c r="N21" s="24" t="s">
        <v>102</v>
      </c>
      <c r="O21" s="23" t="n">
        <v>21</v>
      </c>
    </row>
    <row r="22" customFormat="false" ht="15" hidden="false" customHeight="false" outlineLevel="0" collapsed="false">
      <c r="A22" s="15" t="n">
        <v>46251</v>
      </c>
      <c r="B22" s="16" t="s">
        <v>103</v>
      </c>
      <c r="C22" s="16" t="s">
        <v>104</v>
      </c>
      <c r="D22" s="17" t="n">
        <v>30</v>
      </c>
      <c r="E22" s="17"/>
      <c r="F22" s="16" t="s">
        <v>51</v>
      </c>
      <c r="G22" s="18"/>
      <c r="H22" s="18"/>
      <c r="I22" s="16" t="s">
        <v>52</v>
      </c>
      <c r="J22" s="16"/>
      <c r="K22" s="18" t="s">
        <v>53</v>
      </c>
      <c r="L22" s="16"/>
      <c r="M22" s="18"/>
      <c r="N22" s="19"/>
      <c r="O22" s="18" t="n">
        <v>22</v>
      </c>
    </row>
    <row r="23" customFormat="false" ht="15" hidden="false" customHeight="false" outlineLevel="0" collapsed="false">
      <c r="A23" s="25" t="n">
        <v>46093</v>
      </c>
      <c r="B23" s="26" t="s">
        <v>70</v>
      </c>
      <c r="C23" s="26" t="s">
        <v>105</v>
      </c>
      <c r="D23" s="27" t="n">
        <v>15</v>
      </c>
      <c r="E23" s="27"/>
      <c r="F23" s="26" t="s">
        <v>57</v>
      </c>
      <c r="G23" s="28"/>
      <c r="H23" s="28"/>
      <c r="I23" s="26" t="s">
        <v>65</v>
      </c>
      <c r="J23" s="26"/>
      <c r="K23" s="28" t="s">
        <v>53</v>
      </c>
      <c r="L23" s="26"/>
      <c r="M23" s="29" t="s">
        <v>74</v>
      </c>
      <c r="N23" s="30" t="s">
        <v>106</v>
      </c>
      <c r="O23" s="28" t="n">
        <v>23</v>
      </c>
    </row>
    <row r="24" customFormat="false" ht="15" hidden="false" customHeight="false" outlineLevel="0" collapsed="false">
      <c r="A24" s="15" t="n">
        <v>46252</v>
      </c>
      <c r="B24" s="16" t="s">
        <v>72</v>
      </c>
      <c r="C24" s="16" t="s">
        <v>50</v>
      </c>
      <c r="D24" s="17" t="n">
        <v>28</v>
      </c>
      <c r="E24" s="17"/>
      <c r="F24" s="16" t="s">
        <v>59</v>
      </c>
      <c r="G24" s="18" t="s">
        <v>60</v>
      </c>
      <c r="H24" s="18" t="n">
        <v>1</v>
      </c>
      <c r="I24" s="16" t="s">
        <v>68</v>
      </c>
      <c r="J24" s="16"/>
      <c r="K24" s="18" t="s">
        <v>53</v>
      </c>
      <c r="L24" s="16" t="s">
        <v>54</v>
      </c>
      <c r="M24" s="18"/>
      <c r="N24" s="19"/>
      <c r="O24" s="18" t="n">
        <v>24</v>
      </c>
    </row>
    <row r="25" customFormat="false" ht="15" hidden="false" customHeight="false" outlineLevel="0" collapsed="false">
      <c r="A25" s="20" t="n">
        <v>46279</v>
      </c>
      <c r="B25" s="21" t="s">
        <v>107</v>
      </c>
      <c r="C25" s="21" t="s">
        <v>50</v>
      </c>
      <c r="D25" s="22" t="n">
        <v>89</v>
      </c>
      <c r="E25" s="22"/>
      <c r="F25" s="21" t="s">
        <v>51</v>
      </c>
      <c r="G25" s="23"/>
      <c r="H25" s="23"/>
      <c r="I25" s="21" t="s">
        <v>65</v>
      </c>
      <c r="J25" s="21" t="s">
        <v>24</v>
      </c>
      <c r="K25" s="23" t="s">
        <v>53</v>
      </c>
      <c r="L25" s="21"/>
      <c r="M25" s="23"/>
      <c r="N25" s="24"/>
      <c r="O25" s="23" t="n">
        <v>25</v>
      </c>
    </row>
    <row r="26" customFormat="false" ht="15" hidden="false" customHeight="false" outlineLevel="0" collapsed="false">
      <c r="A26" s="15" t="n">
        <v>46254</v>
      </c>
      <c r="B26" s="16" t="s">
        <v>108</v>
      </c>
      <c r="C26" s="16" t="s">
        <v>58</v>
      </c>
      <c r="D26" s="17" t="n">
        <v>45</v>
      </c>
      <c r="E26" s="17"/>
      <c r="F26" s="16" t="s">
        <v>51</v>
      </c>
      <c r="G26" s="18"/>
      <c r="H26" s="18"/>
      <c r="I26" s="16" t="s">
        <v>52</v>
      </c>
      <c r="J26" s="16"/>
      <c r="K26" s="18" t="s">
        <v>53</v>
      </c>
      <c r="L26" s="16"/>
      <c r="M26" s="18"/>
      <c r="N26" s="19" t="s">
        <v>109</v>
      </c>
      <c r="O26" s="18" t="n">
        <v>26</v>
      </c>
    </row>
    <row r="27" customFormat="false" ht="15" hidden="false" customHeight="false" outlineLevel="0" collapsed="false">
      <c r="A27" s="20" t="n">
        <v>46280</v>
      </c>
      <c r="B27" s="21" t="s">
        <v>55</v>
      </c>
      <c r="C27" s="21" t="s">
        <v>110</v>
      </c>
      <c r="D27" s="22" t="n">
        <v>89</v>
      </c>
      <c r="E27" s="22"/>
      <c r="F27" s="21" t="s">
        <v>51</v>
      </c>
      <c r="G27" s="23"/>
      <c r="H27" s="23"/>
      <c r="I27" s="21" t="s">
        <v>65</v>
      </c>
      <c r="J27" s="21" t="s">
        <v>27</v>
      </c>
      <c r="K27" s="23" t="s">
        <v>53</v>
      </c>
      <c r="L27" s="21" t="s">
        <v>111</v>
      </c>
      <c r="M27" s="23"/>
      <c r="N27" s="24" t="s">
        <v>112</v>
      </c>
      <c r="O27" s="23" t="n">
        <v>27</v>
      </c>
    </row>
    <row r="28" customFormat="false" ht="15" hidden="false" customHeight="false" outlineLevel="0" collapsed="false">
      <c r="A28" s="15" t="n">
        <v>46255</v>
      </c>
      <c r="B28" s="16" t="s">
        <v>113</v>
      </c>
      <c r="C28" s="16" t="s">
        <v>67</v>
      </c>
      <c r="D28" s="17" t="n">
        <v>12</v>
      </c>
      <c r="E28" s="17"/>
      <c r="F28" s="16" t="s">
        <v>59</v>
      </c>
      <c r="G28" s="18" t="s">
        <v>60</v>
      </c>
      <c r="H28" s="18" t="n">
        <v>1</v>
      </c>
      <c r="I28" s="16" t="s">
        <v>52</v>
      </c>
      <c r="J28" s="16"/>
      <c r="K28" s="18" t="s">
        <v>53</v>
      </c>
      <c r="L28" s="16" t="s">
        <v>94</v>
      </c>
      <c r="M28" s="18"/>
      <c r="N28" s="19"/>
      <c r="O28" s="18" t="n">
        <v>28</v>
      </c>
    </row>
    <row r="29" customFormat="false" ht="15" hidden="false" customHeight="false" outlineLevel="0" collapsed="false">
      <c r="A29" s="20" t="n">
        <v>46256</v>
      </c>
      <c r="B29" s="21" t="s">
        <v>87</v>
      </c>
      <c r="C29" s="21" t="s">
        <v>12</v>
      </c>
      <c r="D29" s="22" t="n">
        <v>22</v>
      </c>
      <c r="E29" s="22"/>
      <c r="F29" s="21" t="s">
        <v>63</v>
      </c>
      <c r="G29" s="23" t="s">
        <v>64</v>
      </c>
      <c r="H29" s="23" t="n">
        <v>2</v>
      </c>
      <c r="I29" s="21" t="s">
        <v>65</v>
      </c>
      <c r="J29" s="21"/>
      <c r="K29" s="23" t="s">
        <v>53</v>
      </c>
      <c r="L29" s="21"/>
      <c r="M29" s="23"/>
      <c r="N29" s="24"/>
      <c r="O29" s="23" t="n">
        <v>29</v>
      </c>
    </row>
    <row r="30" customFormat="false" ht="15" hidden="false" customHeight="false" outlineLevel="0" collapsed="false">
      <c r="A30" s="15" t="n">
        <v>46256</v>
      </c>
      <c r="B30" s="16" t="s">
        <v>89</v>
      </c>
      <c r="C30" s="16" t="s">
        <v>73</v>
      </c>
      <c r="D30" s="17" t="n">
        <v>120</v>
      </c>
      <c r="E30" s="17"/>
      <c r="F30" s="16" t="s">
        <v>51</v>
      </c>
      <c r="G30" s="18"/>
      <c r="H30" s="18"/>
      <c r="I30" s="16" t="s">
        <v>68</v>
      </c>
      <c r="J30" s="16"/>
      <c r="K30" s="18" t="s">
        <v>53</v>
      </c>
      <c r="L30" s="16"/>
      <c r="M30" s="18"/>
      <c r="N30" s="19"/>
      <c r="O30" s="18" t="n">
        <v>30</v>
      </c>
    </row>
    <row r="31" customFormat="false" ht="15" hidden="false" customHeight="false" outlineLevel="0" collapsed="false">
      <c r="A31" s="25" t="n">
        <v>46093</v>
      </c>
      <c r="B31" s="26" t="s">
        <v>92</v>
      </c>
      <c r="C31" s="26" t="s">
        <v>77</v>
      </c>
      <c r="D31" s="27" t="n">
        <v>18</v>
      </c>
      <c r="E31" s="27"/>
      <c r="F31" s="26" t="s">
        <v>57</v>
      </c>
      <c r="G31" s="28"/>
      <c r="H31" s="28"/>
      <c r="I31" s="26" t="s">
        <v>71</v>
      </c>
      <c r="J31" s="26"/>
      <c r="K31" s="28" t="s">
        <v>53</v>
      </c>
      <c r="L31" s="26"/>
      <c r="M31" s="29" t="s">
        <v>74</v>
      </c>
      <c r="N31" s="30" t="s">
        <v>106</v>
      </c>
      <c r="O31" s="28" t="n">
        <v>31</v>
      </c>
    </row>
    <row r="32" customFormat="false" ht="15" hidden="false" customHeight="false" outlineLevel="0" collapsed="false">
      <c r="A32" s="15" t="n">
        <v>46258</v>
      </c>
      <c r="B32" s="16" t="s">
        <v>66</v>
      </c>
      <c r="C32" s="16" t="s">
        <v>79</v>
      </c>
      <c r="D32" s="17" t="n">
        <v>35</v>
      </c>
      <c r="E32" s="17"/>
      <c r="F32" s="16" t="s">
        <v>59</v>
      </c>
      <c r="G32" s="18" t="s">
        <v>60</v>
      </c>
      <c r="H32" s="18" t="n">
        <v>1</v>
      </c>
      <c r="I32" s="16" t="s">
        <v>52</v>
      </c>
      <c r="J32" s="16"/>
      <c r="K32" s="18" t="s">
        <v>53</v>
      </c>
      <c r="L32" s="16"/>
      <c r="M32" s="18"/>
      <c r="N32" s="19"/>
      <c r="O32" s="18" t="n">
        <v>32</v>
      </c>
    </row>
    <row r="33" customFormat="false" ht="15" hidden="false" customHeight="false" outlineLevel="0" collapsed="false">
      <c r="A33" s="20" t="n">
        <v>46259</v>
      </c>
      <c r="B33" s="21" t="s">
        <v>49</v>
      </c>
      <c r="C33" s="21" t="s">
        <v>114</v>
      </c>
      <c r="D33" s="22" t="n">
        <v>35</v>
      </c>
      <c r="E33" s="22"/>
      <c r="F33" s="21" t="s">
        <v>51</v>
      </c>
      <c r="G33" s="23"/>
      <c r="H33" s="23"/>
      <c r="I33" s="21" t="s">
        <v>52</v>
      </c>
      <c r="J33" s="21"/>
      <c r="K33" s="23" t="s">
        <v>53</v>
      </c>
      <c r="L33" s="21"/>
      <c r="M33" s="23"/>
      <c r="N33" s="24"/>
      <c r="O33" s="23" t="n">
        <v>34</v>
      </c>
    </row>
    <row r="34" customFormat="false" ht="15" hidden="false" customHeight="false" outlineLevel="0" collapsed="false">
      <c r="A34" s="15" t="n">
        <v>46260</v>
      </c>
      <c r="B34" s="16" t="s">
        <v>55</v>
      </c>
      <c r="C34" s="16" t="s">
        <v>88</v>
      </c>
      <c r="D34" s="17" t="n">
        <v>89</v>
      </c>
      <c r="E34" s="17"/>
      <c r="F34" s="16" t="s">
        <v>57</v>
      </c>
      <c r="G34" s="18"/>
      <c r="H34" s="18"/>
      <c r="I34" s="16" t="s">
        <v>65</v>
      </c>
      <c r="J34" s="16"/>
      <c r="K34" s="18" t="s">
        <v>53</v>
      </c>
      <c r="L34" s="16" t="s">
        <v>54</v>
      </c>
      <c r="M34" s="18"/>
      <c r="N34" s="19"/>
      <c r="O34" s="18" t="n">
        <v>35</v>
      </c>
    </row>
    <row r="35" customFormat="false" ht="15" hidden="false" customHeight="false" outlineLevel="0" collapsed="false">
      <c r="A35" s="20" t="n">
        <v>46260</v>
      </c>
      <c r="B35" s="21" t="s">
        <v>95</v>
      </c>
      <c r="C35" s="21" t="s">
        <v>90</v>
      </c>
      <c r="D35" s="22" t="n">
        <v>40</v>
      </c>
      <c r="E35" s="22"/>
      <c r="F35" s="21" t="s">
        <v>51</v>
      </c>
      <c r="G35" s="23"/>
      <c r="H35" s="23"/>
      <c r="I35" s="21" t="s">
        <v>68</v>
      </c>
      <c r="J35" s="21"/>
      <c r="K35" s="23" t="s">
        <v>53</v>
      </c>
      <c r="L35" s="21" t="s">
        <v>115</v>
      </c>
      <c r="M35" s="23"/>
      <c r="N35" s="24" t="s">
        <v>116</v>
      </c>
      <c r="O35" s="23" t="n">
        <v>36</v>
      </c>
    </row>
    <row r="36" customFormat="false" ht="15" hidden="false" customHeight="false" outlineLevel="0" collapsed="false">
      <c r="A36" s="15" t="n">
        <v>46261</v>
      </c>
      <c r="B36" s="16" t="s">
        <v>61</v>
      </c>
      <c r="C36" s="16" t="s">
        <v>93</v>
      </c>
      <c r="D36" s="17" t="n">
        <v>25</v>
      </c>
      <c r="E36" s="17"/>
      <c r="F36" s="16" t="s">
        <v>63</v>
      </c>
      <c r="G36" s="18" t="s">
        <v>64</v>
      </c>
      <c r="H36" s="18" t="n">
        <v>2</v>
      </c>
      <c r="I36" s="16" t="s">
        <v>71</v>
      </c>
      <c r="J36" s="16"/>
      <c r="K36" s="18" t="s">
        <v>53</v>
      </c>
      <c r="L36" s="16"/>
      <c r="M36" s="18"/>
      <c r="N36" s="19"/>
      <c r="O36" s="18" t="n">
        <v>37</v>
      </c>
    </row>
    <row r="37" customFormat="false" ht="15" hidden="false" customHeight="false" outlineLevel="0" collapsed="false">
      <c r="A37" s="20" t="n">
        <v>46262</v>
      </c>
      <c r="B37" s="21" t="s">
        <v>103</v>
      </c>
      <c r="C37" s="21" t="s">
        <v>117</v>
      </c>
      <c r="D37" s="22" t="n">
        <v>30</v>
      </c>
      <c r="E37" s="22"/>
      <c r="F37" s="21" t="s">
        <v>51</v>
      </c>
      <c r="G37" s="23"/>
      <c r="H37" s="23"/>
      <c r="I37" s="21" t="s">
        <v>52</v>
      </c>
      <c r="J37" s="21"/>
      <c r="K37" s="23" t="s">
        <v>53</v>
      </c>
      <c r="L37" s="21"/>
      <c r="M37" s="23"/>
      <c r="N37" s="24"/>
      <c r="O37" s="23" t="n">
        <v>38</v>
      </c>
    </row>
    <row r="38" customFormat="false" ht="15" hidden="false" customHeight="false" outlineLevel="0" collapsed="false">
      <c r="A38" s="15" t="n">
        <v>46262</v>
      </c>
      <c r="B38" s="16" t="s">
        <v>70</v>
      </c>
      <c r="C38" s="16" t="s">
        <v>118</v>
      </c>
      <c r="D38" s="17" t="n">
        <v>15</v>
      </c>
      <c r="E38" s="17"/>
      <c r="F38" s="16" t="s">
        <v>57</v>
      </c>
      <c r="G38" s="18"/>
      <c r="H38" s="18"/>
      <c r="I38" s="16" t="s">
        <v>52</v>
      </c>
      <c r="J38" s="16"/>
      <c r="K38" s="18" t="s">
        <v>53</v>
      </c>
      <c r="L38" s="16"/>
      <c r="M38" s="18"/>
      <c r="N38" s="19"/>
      <c r="O38" s="18" t="n">
        <v>39</v>
      </c>
    </row>
    <row r="39" customFormat="false" ht="15" hidden="false" customHeight="false" outlineLevel="0" collapsed="false">
      <c r="A39" s="20" t="n">
        <v>46263</v>
      </c>
      <c r="B39" s="21" t="s">
        <v>72</v>
      </c>
      <c r="C39" s="21" t="s">
        <v>97</v>
      </c>
      <c r="D39" s="22" t="n">
        <v>28</v>
      </c>
      <c r="E39" s="22"/>
      <c r="F39" s="21" t="s">
        <v>59</v>
      </c>
      <c r="G39" s="23" t="s">
        <v>60</v>
      </c>
      <c r="H39" s="23" t="n">
        <v>1</v>
      </c>
      <c r="I39" s="21" t="s">
        <v>52</v>
      </c>
      <c r="J39" s="21"/>
      <c r="K39" s="23" t="s">
        <v>53</v>
      </c>
      <c r="L39" s="21"/>
      <c r="M39" s="23"/>
      <c r="N39" s="24"/>
      <c r="O39" s="23" t="n">
        <v>40</v>
      </c>
    </row>
    <row r="40" customFormat="false" ht="15" hidden="false" customHeight="false" outlineLevel="0" collapsed="false">
      <c r="A40" s="15" t="n">
        <v>46264</v>
      </c>
      <c r="B40" s="16" t="s">
        <v>108</v>
      </c>
      <c r="C40" s="16" t="s">
        <v>100</v>
      </c>
      <c r="D40" s="17" t="n">
        <v>45</v>
      </c>
      <c r="E40" s="17"/>
      <c r="F40" s="16" t="s">
        <v>51</v>
      </c>
      <c r="G40" s="18"/>
      <c r="H40" s="18"/>
      <c r="I40" s="16" t="s">
        <v>68</v>
      </c>
      <c r="J40" s="16"/>
      <c r="K40" s="18" t="s">
        <v>53</v>
      </c>
      <c r="L40" s="16"/>
      <c r="M40" s="18"/>
      <c r="N40" s="19"/>
      <c r="O40" s="18" t="n">
        <v>42</v>
      </c>
    </row>
    <row r="41" customFormat="false" ht="15" hidden="false" customHeight="false" outlineLevel="0" collapsed="false">
      <c r="A41" s="20" t="n">
        <v>46265</v>
      </c>
      <c r="B41" s="21" t="s">
        <v>80</v>
      </c>
      <c r="C41" s="21" t="s">
        <v>101</v>
      </c>
      <c r="D41" s="22" t="n">
        <v>55</v>
      </c>
      <c r="E41" s="22"/>
      <c r="F41" s="21" t="s">
        <v>57</v>
      </c>
      <c r="G41" s="23"/>
      <c r="H41" s="23"/>
      <c r="I41" s="21" t="s">
        <v>71</v>
      </c>
      <c r="J41" s="21"/>
      <c r="K41" s="23" t="s">
        <v>53</v>
      </c>
      <c r="L41" s="21"/>
      <c r="M41" s="23"/>
      <c r="N41" s="24"/>
      <c r="O41" s="23" t="n">
        <v>43</v>
      </c>
    </row>
    <row r="42" customFormat="false" ht="15" hidden="false" customHeight="false" outlineLevel="0" collapsed="false">
      <c r="A42" s="15" t="n">
        <v>46277</v>
      </c>
      <c r="B42" s="16" t="s">
        <v>87</v>
      </c>
      <c r="C42" s="16" t="s">
        <v>77</v>
      </c>
      <c r="D42" s="17" t="n">
        <v>22</v>
      </c>
      <c r="E42" s="17"/>
      <c r="F42" s="16" t="s">
        <v>51</v>
      </c>
      <c r="G42" s="18"/>
      <c r="H42" s="18"/>
      <c r="I42" s="16" t="s">
        <v>65</v>
      </c>
      <c r="J42" s="16" t="s">
        <v>30</v>
      </c>
      <c r="K42" s="18" t="s">
        <v>53</v>
      </c>
      <c r="L42" s="16"/>
      <c r="M42" s="18"/>
      <c r="N42" s="19"/>
      <c r="O42" s="18" t="n">
        <v>44</v>
      </c>
    </row>
    <row r="43" customFormat="false" ht="15" hidden="false" customHeight="false" outlineLevel="0" collapsed="false">
      <c r="A43" s="25"/>
      <c r="B43" s="26" t="s">
        <v>87</v>
      </c>
      <c r="C43" s="26" t="s">
        <v>105</v>
      </c>
      <c r="D43" s="27" t="n">
        <v>22</v>
      </c>
      <c r="E43" s="27"/>
      <c r="F43" s="26" t="s">
        <v>63</v>
      </c>
      <c r="G43" s="28" t="s">
        <v>64</v>
      </c>
      <c r="H43" s="28" t="n">
        <v>2</v>
      </c>
      <c r="I43" s="26" t="s">
        <v>52</v>
      </c>
      <c r="J43" s="26"/>
      <c r="K43" s="28" t="s">
        <v>53</v>
      </c>
      <c r="L43" s="26"/>
      <c r="M43" s="29" t="s">
        <v>74</v>
      </c>
      <c r="N43" s="30" t="s">
        <v>91</v>
      </c>
      <c r="O43" s="28" t="n">
        <v>45</v>
      </c>
    </row>
    <row r="44" customFormat="false" ht="15" hidden="false" customHeight="false" outlineLevel="0" collapsed="false">
      <c r="A44" s="15" t="n">
        <v>46267</v>
      </c>
      <c r="B44" s="16" t="s">
        <v>89</v>
      </c>
      <c r="C44" s="16" t="s">
        <v>50</v>
      </c>
      <c r="D44" s="17" t="n">
        <v>120</v>
      </c>
      <c r="E44" s="17"/>
      <c r="F44" s="16" t="s">
        <v>51</v>
      </c>
      <c r="G44" s="18"/>
      <c r="H44" s="18"/>
      <c r="I44" s="16" t="s">
        <v>52</v>
      </c>
      <c r="J44" s="16"/>
      <c r="K44" s="18" t="s">
        <v>53</v>
      </c>
      <c r="L44" s="16" t="s">
        <v>54</v>
      </c>
      <c r="M44" s="18"/>
      <c r="N44" s="19" t="s">
        <v>119</v>
      </c>
      <c r="O44" s="18" t="n">
        <v>46</v>
      </c>
    </row>
    <row r="45" customFormat="false" ht="15" hidden="false" customHeight="false" outlineLevel="0" collapsed="false">
      <c r="A45" s="20" t="n">
        <v>46268</v>
      </c>
      <c r="B45" s="21" t="s">
        <v>92</v>
      </c>
      <c r="C45" s="21" t="s">
        <v>56</v>
      </c>
      <c r="D45" s="22" t="n">
        <v>18</v>
      </c>
      <c r="E45" s="22"/>
      <c r="F45" s="21" t="s">
        <v>57</v>
      </c>
      <c r="G45" s="23"/>
      <c r="H45" s="23"/>
      <c r="I45" s="21" t="s">
        <v>65</v>
      </c>
      <c r="J45" s="21"/>
      <c r="K45" s="23" t="s">
        <v>53</v>
      </c>
      <c r="L45" s="21"/>
      <c r="M45" s="23"/>
      <c r="N45" s="24"/>
      <c r="O45" s="23" t="n">
        <v>47</v>
      </c>
    </row>
    <row r="46" customFormat="false" ht="15" hidden="false" customHeight="false" outlineLevel="0" collapsed="false">
      <c r="A46" s="25" t="n">
        <v>46281</v>
      </c>
      <c r="B46" s="26" t="s">
        <v>92</v>
      </c>
      <c r="C46" s="26" t="s">
        <v>8</v>
      </c>
      <c r="D46" s="27" t="n">
        <v>30</v>
      </c>
      <c r="E46" s="27"/>
      <c r="F46" s="26" t="s">
        <v>84</v>
      </c>
      <c r="G46" s="28"/>
      <c r="H46" s="28"/>
      <c r="I46" s="26" t="s">
        <v>52</v>
      </c>
      <c r="J46" s="26"/>
      <c r="K46" s="28" t="s">
        <v>85</v>
      </c>
      <c r="L46" s="26" t="s">
        <v>120</v>
      </c>
      <c r="M46" s="29" t="s">
        <v>74</v>
      </c>
      <c r="N46" s="30" t="s">
        <v>121</v>
      </c>
      <c r="O46" s="28" t="n">
        <v>48</v>
      </c>
    </row>
    <row r="47" customFormat="false" ht="15" hidden="false" customHeight="false" outlineLevel="0" collapsed="false">
      <c r="A47" s="20" t="n">
        <v>46269</v>
      </c>
      <c r="B47" s="21" t="s">
        <v>49</v>
      </c>
      <c r="C47" s="21" t="s">
        <v>62</v>
      </c>
      <c r="D47" s="22" t="n">
        <v>35</v>
      </c>
      <c r="E47" s="22"/>
      <c r="F47" s="21" t="s">
        <v>63</v>
      </c>
      <c r="G47" s="23" t="s">
        <v>64</v>
      </c>
      <c r="H47" s="23" t="n">
        <v>2</v>
      </c>
      <c r="I47" s="21" t="s">
        <v>71</v>
      </c>
      <c r="J47" s="21"/>
      <c r="K47" s="23" t="s">
        <v>53</v>
      </c>
      <c r="L47" s="21"/>
      <c r="M47" s="23"/>
      <c r="N47" s="24"/>
      <c r="O47" s="23" t="n">
        <v>49</v>
      </c>
    </row>
    <row r="48" customFormat="false" ht="15" hidden="false" customHeight="false" outlineLevel="0" collapsed="false">
      <c r="A48" s="15" t="n">
        <v>46270</v>
      </c>
      <c r="B48" s="16" t="s">
        <v>49</v>
      </c>
      <c r="C48" s="16" t="s">
        <v>67</v>
      </c>
      <c r="D48" s="17" t="n">
        <v>35</v>
      </c>
      <c r="E48" s="17"/>
      <c r="F48" s="16" t="s">
        <v>51</v>
      </c>
      <c r="G48" s="18"/>
      <c r="H48" s="18"/>
      <c r="I48" s="16" t="s">
        <v>52</v>
      </c>
      <c r="J48" s="16"/>
      <c r="K48" s="18" t="s">
        <v>53</v>
      </c>
      <c r="L48" s="16"/>
      <c r="M48" s="18"/>
      <c r="N48" s="19"/>
      <c r="O48" s="18" t="n">
        <v>50</v>
      </c>
    </row>
    <row r="49" customFormat="false" ht="15" hidden="false" customHeight="false" outlineLevel="0" collapsed="false">
      <c r="A49" s="20" t="n">
        <v>46270</v>
      </c>
      <c r="B49" s="21" t="s">
        <v>55</v>
      </c>
      <c r="C49" s="21" t="s">
        <v>12</v>
      </c>
      <c r="D49" s="22" t="n">
        <v>89</v>
      </c>
      <c r="E49" s="22"/>
      <c r="F49" s="21" t="s">
        <v>57</v>
      </c>
      <c r="G49" s="23"/>
      <c r="H49" s="23"/>
      <c r="I49" s="21" t="s">
        <v>52</v>
      </c>
      <c r="J49" s="21"/>
      <c r="K49" s="23" t="s">
        <v>53</v>
      </c>
      <c r="L49" s="21"/>
      <c r="M49" s="23"/>
      <c r="N49" s="24" t="s">
        <v>122</v>
      </c>
      <c r="O49" s="23" t="n">
        <v>51</v>
      </c>
    </row>
    <row r="50" customFormat="false" ht="15" hidden="false" customHeight="false" outlineLevel="0" collapsed="false">
      <c r="A50" s="15" t="n">
        <v>46272</v>
      </c>
      <c r="B50" s="16" t="s">
        <v>61</v>
      </c>
      <c r="C50" s="16" t="s">
        <v>77</v>
      </c>
      <c r="D50" s="17" t="n">
        <v>25</v>
      </c>
      <c r="E50" s="17"/>
      <c r="F50" s="16" t="s">
        <v>63</v>
      </c>
      <c r="G50" s="18" t="s">
        <v>64</v>
      </c>
      <c r="H50" s="18" t="n">
        <v>2</v>
      </c>
      <c r="I50" s="16" t="s">
        <v>65</v>
      </c>
      <c r="J50" s="16"/>
      <c r="K50" s="18" t="s">
        <v>53</v>
      </c>
      <c r="L50" s="16"/>
      <c r="M50" s="18"/>
      <c r="N50" s="19"/>
      <c r="O50" s="18" t="n">
        <v>53</v>
      </c>
    </row>
    <row r="51" customFormat="false" ht="15" hidden="false" customHeight="false" outlineLevel="0" collapsed="false">
      <c r="A51" s="20" t="n">
        <v>46272</v>
      </c>
      <c r="B51" s="21" t="s">
        <v>103</v>
      </c>
      <c r="C51" s="21" t="s">
        <v>79</v>
      </c>
      <c r="D51" s="22" t="n">
        <v>30</v>
      </c>
      <c r="E51" s="22"/>
      <c r="F51" s="21" t="s">
        <v>51</v>
      </c>
      <c r="G51" s="23"/>
      <c r="H51" s="23"/>
      <c r="I51" s="21" t="s">
        <v>68</v>
      </c>
      <c r="J51" s="21"/>
      <c r="K51" s="23" t="s">
        <v>53</v>
      </c>
      <c r="L51" s="21" t="s">
        <v>94</v>
      </c>
      <c r="M51" s="23"/>
      <c r="N51" s="24"/>
      <c r="O51" s="23" t="n">
        <v>54</v>
      </c>
    </row>
    <row r="52" customFormat="false" ht="15" hidden="false" customHeight="false" outlineLevel="0" collapsed="false">
      <c r="A52" s="25" t="n">
        <v>46273</v>
      </c>
      <c r="B52" s="26" t="s">
        <v>70</v>
      </c>
      <c r="C52" s="26" t="s">
        <v>123</v>
      </c>
      <c r="D52" s="27"/>
      <c r="E52" s="27"/>
      <c r="F52" s="26" t="s">
        <v>57</v>
      </c>
      <c r="G52" s="28"/>
      <c r="H52" s="28"/>
      <c r="I52" s="26" t="s">
        <v>71</v>
      </c>
      <c r="J52" s="26"/>
      <c r="K52" s="28" t="s">
        <v>53</v>
      </c>
      <c r="L52" s="26"/>
      <c r="M52" s="29" t="s">
        <v>74</v>
      </c>
      <c r="N52" s="30" t="s">
        <v>124</v>
      </c>
      <c r="O52" s="28" t="n">
        <v>55</v>
      </c>
    </row>
    <row r="53" customFormat="false" ht="15" hidden="false" customHeight="false" outlineLevel="0" collapsed="false">
      <c r="A53" s="20" t="n">
        <v>46274</v>
      </c>
      <c r="B53" s="21" t="s">
        <v>72</v>
      </c>
      <c r="C53" s="21" t="s">
        <v>114</v>
      </c>
      <c r="D53" s="22" t="n">
        <v>28</v>
      </c>
      <c r="E53" s="22"/>
      <c r="F53" s="21" t="s">
        <v>59</v>
      </c>
      <c r="G53" s="23" t="s">
        <v>60</v>
      </c>
      <c r="H53" s="23" t="n">
        <v>1</v>
      </c>
      <c r="I53" s="21" t="s">
        <v>52</v>
      </c>
      <c r="J53" s="21"/>
      <c r="K53" s="23" t="s">
        <v>53</v>
      </c>
      <c r="L53" s="21"/>
      <c r="M53" s="23"/>
      <c r="N53" s="24" t="s">
        <v>125</v>
      </c>
      <c r="O53" s="23" t="n">
        <v>56</v>
      </c>
    </row>
    <row r="54" customFormat="false" ht="15" hidden="false" customHeight="false" outlineLevel="0" collapsed="false">
      <c r="A54" s="15" t="n">
        <v>46274</v>
      </c>
      <c r="B54" s="16" t="s">
        <v>76</v>
      </c>
      <c r="C54" s="16" t="s">
        <v>88</v>
      </c>
      <c r="D54" s="17" t="n">
        <v>70</v>
      </c>
      <c r="E54" s="17"/>
      <c r="F54" s="16" t="s">
        <v>63</v>
      </c>
      <c r="G54" s="18" t="s">
        <v>64</v>
      </c>
      <c r="H54" s="18" t="n">
        <v>2</v>
      </c>
      <c r="I54" s="16" t="s">
        <v>52</v>
      </c>
      <c r="J54" s="16"/>
      <c r="K54" s="18" t="s">
        <v>53</v>
      </c>
      <c r="L54" s="16" t="s">
        <v>54</v>
      </c>
      <c r="M54" s="18"/>
      <c r="N54" s="19"/>
      <c r="O54" s="18" t="n">
        <v>57</v>
      </c>
    </row>
    <row r="55" customFormat="false" ht="15" hidden="false" customHeight="false" outlineLevel="0" collapsed="false">
      <c r="A55" s="20" t="n">
        <v>46275</v>
      </c>
      <c r="B55" s="21" t="s">
        <v>108</v>
      </c>
      <c r="C55" s="21" t="s">
        <v>90</v>
      </c>
      <c r="D55" s="22" t="n">
        <v>45</v>
      </c>
      <c r="E55" s="22"/>
      <c r="F55" s="21" t="s">
        <v>51</v>
      </c>
      <c r="G55" s="23"/>
      <c r="H55" s="23"/>
      <c r="I55" s="21" t="s">
        <v>52</v>
      </c>
      <c r="J55" s="21"/>
      <c r="K55" s="23" t="s">
        <v>53</v>
      </c>
      <c r="L55" s="21"/>
      <c r="M55" s="23"/>
      <c r="N55" s="24"/>
      <c r="O55" s="23" t="n">
        <v>58</v>
      </c>
    </row>
    <row r="56" customFormat="false" ht="15" hidden="false" customHeight="false" outlineLevel="0" collapsed="false">
      <c r="A56" s="15" t="n">
        <v>46276</v>
      </c>
      <c r="B56" s="16" t="s">
        <v>80</v>
      </c>
      <c r="C56" s="16" t="s">
        <v>93</v>
      </c>
      <c r="D56" s="17" t="n">
        <v>55</v>
      </c>
      <c r="E56" s="17"/>
      <c r="F56" s="16" t="s">
        <v>57</v>
      </c>
      <c r="G56" s="18"/>
      <c r="H56" s="18"/>
      <c r="I56" s="16" t="s">
        <v>65</v>
      </c>
      <c r="J56" s="16"/>
      <c r="K56" s="18" t="s">
        <v>53</v>
      </c>
      <c r="L56" s="16"/>
      <c r="M56" s="18"/>
      <c r="N56" s="19"/>
      <c r="O56" s="18" t="n">
        <v>59</v>
      </c>
    </row>
    <row r="57" customFormat="false" ht="15" hidden="false" customHeight="false" outlineLevel="0" collapsed="false">
      <c r="A57" s="20" t="n">
        <v>46276</v>
      </c>
      <c r="B57" s="21" t="s">
        <v>113</v>
      </c>
      <c r="C57" s="21" t="s">
        <v>117</v>
      </c>
      <c r="D57" s="22" t="n">
        <v>12</v>
      </c>
      <c r="E57" s="22"/>
      <c r="F57" s="21" t="s">
        <v>59</v>
      </c>
      <c r="G57" s="23" t="s">
        <v>60</v>
      </c>
      <c r="H57" s="23" t="n">
        <v>1</v>
      </c>
      <c r="I57" s="21" t="s">
        <v>68</v>
      </c>
      <c r="J57" s="21"/>
      <c r="K57" s="23" t="s">
        <v>53</v>
      </c>
      <c r="L57" s="21"/>
      <c r="M57" s="23"/>
      <c r="N57" s="24"/>
      <c r="O57" s="23" t="n">
        <v>60</v>
      </c>
    </row>
    <row r="58" customFormat="false" ht="15" hidden="false" customHeight="false" outlineLevel="0" collapsed="false">
      <c r="A58" s="15" t="n">
        <v>46277</v>
      </c>
      <c r="B58" s="16" t="s">
        <v>87</v>
      </c>
      <c r="C58" s="16" t="s">
        <v>118</v>
      </c>
      <c r="D58" s="17" t="n">
        <v>22</v>
      </c>
      <c r="E58" s="17"/>
      <c r="F58" s="16" t="s">
        <v>63</v>
      </c>
      <c r="G58" s="18" t="s">
        <v>64</v>
      </c>
      <c r="H58" s="18" t="n">
        <v>2</v>
      </c>
      <c r="I58" s="16" t="s">
        <v>71</v>
      </c>
      <c r="J58" s="16"/>
      <c r="K58" s="18" t="s">
        <v>53</v>
      </c>
      <c r="L58" s="16"/>
      <c r="M58" s="18"/>
      <c r="N58" s="19" t="s">
        <v>126</v>
      </c>
      <c r="O58" s="18" t="n">
        <v>61</v>
      </c>
    </row>
    <row r="59" customFormat="false" ht="15" hidden="false" customHeight="false" outlineLevel="0" collapsed="false">
      <c r="A59" s="20" t="n">
        <v>46278</v>
      </c>
      <c r="B59" s="21" t="s">
        <v>89</v>
      </c>
      <c r="C59" s="21" t="s">
        <v>97</v>
      </c>
      <c r="D59" s="22" t="n">
        <v>120</v>
      </c>
      <c r="E59" s="22"/>
      <c r="F59" s="21" t="s">
        <v>51</v>
      </c>
      <c r="G59" s="23"/>
      <c r="H59" s="23"/>
      <c r="I59" s="21" t="s">
        <v>52</v>
      </c>
      <c r="J59" s="21"/>
      <c r="K59" s="23" t="s">
        <v>53</v>
      </c>
      <c r="L59" s="21"/>
      <c r="M59" s="23"/>
      <c r="N59" s="24"/>
      <c r="O59" s="23" t="n">
        <v>62</v>
      </c>
    </row>
    <row r="60" customFormat="false" ht="15" hidden="false" customHeight="false" outlineLevel="0" collapsed="false">
      <c r="A60" s="25" t="n">
        <v>46278</v>
      </c>
      <c r="B60" s="26" t="s">
        <v>92</v>
      </c>
      <c r="C60" s="26" t="s">
        <v>36</v>
      </c>
      <c r="D60" s="27" t="n">
        <v>18</v>
      </c>
      <c r="E60" s="27"/>
      <c r="F60" s="26" t="s">
        <v>57</v>
      </c>
      <c r="G60" s="28"/>
      <c r="H60" s="28"/>
      <c r="I60" s="26" t="s">
        <v>52</v>
      </c>
      <c r="J60" s="26"/>
      <c r="K60" s="28" t="s">
        <v>53</v>
      </c>
      <c r="L60" s="26"/>
      <c r="M60" s="29" t="s">
        <v>74</v>
      </c>
      <c r="N60" s="30" t="s">
        <v>127</v>
      </c>
      <c r="O60" s="28" t="n">
        <v>63</v>
      </c>
    </row>
    <row r="61" customFormat="false" ht="15" hidden="false" customHeight="false" outlineLevel="0" collapsed="false">
      <c r="A61" s="20" t="n">
        <v>46279</v>
      </c>
      <c r="B61" s="21" t="s">
        <v>66</v>
      </c>
      <c r="C61" s="21" t="s">
        <v>100</v>
      </c>
      <c r="D61" s="22" t="n">
        <v>35</v>
      </c>
      <c r="E61" s="22"/>
      <c r="F61" s="21" t="s">
        <v>59</v>
      </c>
      <c r="G61" s="23" t="s">
        <v>60</v>
      </c>
      <c r="H61" s="23" t="n">
        <v>1</v>
      </c>
      <c r="I61" s="21" t="s">
        <v>52</v>
      </c>
      <c r="J61" s="21"/>
      <c r="K61" s="23" t="s">
        <v>53</v>
      </c>
      <c r="L61" s="21"/>
      <c r="M61" s="23"/>
      <c r="N61" s="24"/>
      <c r="O61" s="23" t="n">
        <v>64</v>
      </c>
    </row>
    <row r="62" customFormat="false" ht="15" hidden="false" customHeight="false" outlineLevel="0" collapsed="false">
      <c r="A62" s="15" t="n">
        <v>46280</v>
      </c>
      <c r="B62" s="16" t="s">
        <v>49</v>
      </c>
      <c r="C62" s="16" t="s">
        <v>101</v>
      </c>
      <c r="D62" s="17" t="n">
        <v>35</v>
      </c>
      <c r="E62" s="17"/>
      <c r="F62" s="16" t="s">
        <v>63</v>
      </c>
      <c r="G62" s="18" t="s">
        <v>64</v>
      </c>
      <c r="H62" s="18" t="n">
        <v>2</v>
      </c>
      <c r="I62" s="16" t="s">
        <v>65</v>
      </c>
      <c r="J62" s="16"/>
      <c r="K62" s="18" t="s">
        <v>53</v>
      </c>
      <c r="L62" s="16"/>
      <c r="M62" s="18"/>
      <c r="N62" s="19"/>
      <c r="O62" s="18" t="n">
        <v>65</v>
      </c>
    </row>
    <row r="63" customFormat="false" ht="15" hidden="false" customHeight="false" outlineLevel="0" collapsed="false">
      <c r="A63" s="20" t="n">
        <v>46289</v>
      </c>
      <c r="B63" s="21" t="s">
        <v>89</v>
      </c>
      <c r="C63" s="21" t="s">
        <v>12</v>
      </c>
      <c r="D63" s="22" t="n">
        <v>80</v>
      </c>
      <c r="E63" s="22"/>
      <c r="F63" s="21" t="s">
        <v>84</v>
      </c>
      <c r="G63" s="23"/>
      <c r="H63" s="23"/>
      <c r="I63" s="21" t="s">
        <v>52</v>
      </c>
      <c r="J63" s="21"/>
      <c r="K63" s="23" t="s">
        <v>85</v>
      </c>
      <c r="L63" s="21" t="s">
        <v>128</v>
      </c>
      <c r="M63" s="23"/>
      <c r="N63" s="24"/>
      <c r="O63" s="23" t="n">
        <v>66</v>
      </c>
    </row>
    <row r="64" customFormat="false" ht="15" hidden="false" customHeight="false" outlineLevel="0" collapsed="false">
      <c r="A64" s="15" t="n">
        <v>46281</v>
      </c>
      <c r="B64" s="16" t="s">
        <v>55</v>
      </c>
      <c r="C64" s="16" t="s">
        <v>105</v>
      </c>
      <c r="D64" s="17" t="n">
        <v>89</v>
      </c>
      <c r="E64" s="17"/>
      <c r="F64" s="16" t="s">
        <v>57</v>
      </c>
      <c r="G64" s="18"/>
      <c r="H64" s="18"/>
      <c r="I64" s="16" t="s">
        <v>71</v>
      </c>
      <c r="J64" s="16"/>
      <c r="K64" s="18" t="s">
        <v>53</v>
      </c>
      <c r="L64" s="16" t="s">
        <v>94</v>
      </c>
      <c r="M64" s="18"/>
      <c r="N64" s="19"/>
      <c r="O64" s="18" t="n">
        <v>67</v>
      </c>
    </row>
    <row r="65" customFormat="false" ht="15" hidden="false" customHeight="false" outlineLevel="0" collapsed="false">
      <c r="A65" s="20" t="n">
        <v>46282</v>
      </c>
      <c r="B65" s="21" t="s">
        <v>95</v>
      </c>
      <c r="C65" s="21" t="s">
        <v>50</v>
      </c>
      <c r="D65" s="22" t="n">
        <v>40</v>
      </c>
      <c r="E65" s="22"/>
      <c r="F65" s="21" t="s">
        <v>59</v>
      </c>
      <c r="G65" s="23" t="s">
        <v>60</v>
      </c>
      <c r="H65" s="23" t="n">
        <v>1</v>
      </c>
      <c r="I65" s="21" t="s">
        <v>52</v>
      </c>
      <c r="J65" s="21"/>
      <c r="K65" s="23" t="s">
        <v>53</v>
      </c>
      <c r="L65" s="21" t="s">
        <v>54</v>
      </c>
      <c r="M65" s="23"/>
      <c r="N65" s="24"/>
      <c r="O65" s="23" t="n">
        <v>68</v>
      </c>
    </row>
    <row r="66" customFormat="false" ht="15" hidden="false" customHeight="false" outlineLevel="0" collapsed="false">
      <c r="A66" s="15" t="n">
        <v>46282</v>
      </c>
      <c r="B66" s="16" t="s">
        <v>61</v>
      </c>
      <c r="C66" s="16" t="s">
        <v>56</v>
      </c>
      <c r="D66" s="17" t="n">
        <v>25</v>
      </c>
      <c r="E66" s="17"/>
      <c r="F66" s="16" t="s">
        <v>63</v>
      </c>
      <c r="G66" s="18" t="s">
        <v>64</v>
      </c>
      <c r="H66" s="18" t="n">
        <v>2</v>
      </c>
      <c r="I66" s="16" t="s">
        <v>52</v>
      </c>
      <c r="J66" s="16"/>
      <c r="K66" s="18" t="s">
        <v>53</v>
      </c>
      <c r="L66" s="16"/>
      <c r="M66" s="18"/>
      <c r="N66" s="19"/>
      <c r="O66" s="18" t="n">
        <v>69</v>
      </c>
    </row>
    <row r="67" customFormat="false" ht="15" hidden="false" customHeight="false" outlineLevel="0" collapsed="false">
      <c r="A67" s="20" t="n">
        <v>46291</v>
      </c>
      <c r="B67" s="21" t="s">
        <v>80</v>
      </c>
      <c r="C67" s="21" t="s">
        <v>117</v>
      </c>
      <c r="D67" s="22" t="n">
        <v>55</v>
      </c>
      <c r="E67" s="22"/>
      <c r="F67" s="21" t="s">
        <v>57</v>
      </c>
      <c r="G67" s="23"/>
      <c r="H67" s="23"/>
      <c r="I67" s="21" t="s">
        <v>65</v>
      </c>
      <c r="J67" s="21" t="s">
        <v>32</v>
      </c>
      <c r="K67" s="23" t="s">
        <v>53</v>
      </c>
      <c r="L67" s="21"/>
      <c r="M67" s="23"/>
      <c r="N67" s="24"/>
      <c r="O67" s="23" t="n">
        <v>70</v>
      </c>
    </row>
    <row r="68" customFormat="false" ht="15" hidden="false" customHeight="false" outlineLevel="0" collapsed="false">
      <c r="A68" s="15" t="n">
        <v>46284</v>
      </c>
      <c r="B68" s="16" t="s">
        <v>70</v>
      </c>
      <c r="C68" s="16" t="s">
        <v>62</v>
      </c>
      <c r="D68" s="17" t="n">
        <v>15</v>
      </c>
      <c r="E68" s="17"/>
      <c r="F68" s="16" t="s">
        <v>57</v>
      </c>
      <c r="G68" s="18"/>
      <c r="H68" s="18"/>
      <c r="I68" s="16" t="s">
        <v>65</v>
      </c>
      <c r="J68" s="16"/>
      <c r="K68" s="18" t="s">
        <v>53</v>
      </c>
      <c r="L68" s="16"/>
      <c r="M68" s="18"/>
      <c r="N68" s="19" t="s">
        <v>129</v>
      </c>
      <c r="O68" s="18" t="n">
        <v>71</v>
      </c>
    </row>
    <row r="69" customFormat="false" ht="15" hidden="false" customHeight="false" outlineLevel="0" collapsed="false">
      <c r="A69" s="20" t="n">
        <v>46284</v>
      </c>
      <c r="B69" s="21" t="s">
        <v>72</v>
      </c>
      <c r="C69" s="21" t="s">
        <v>67</v>
      </c>
      <c r="D69" s="22" t="n">
        <v>28</v>
      </c>
      <c r="E69" s="22"/>
      <c r="F69" s="21" t="s">
        <v>59</v>
      </c>
      <c r="G69" s="23" t="s">
        <v>60</v>
      </c>
      <c r="H69" s="23" t="n">
        <v>1</v>
      </c>
      <c r="I69" s="21" t="s">
        <v>68</v>
      </c>
      <c r="J69" s="21"/>
      <c r="K69" s="23" t="s">
        <v>53</v>
      </c>
      <c r="L69" s="21"/>
      <c r="M69" s="23"/>
      <c r="N69" s="24"/>
      <c r="O69" s="23" t="n">
        <v>72</v>
      </c>
    </row>
    <row r="70" customFormat="false" ht="15" hidden="false" customHeight="false" outlineLevel="0" collapsed="false">
      <c r="A70" s="15" t="n">
        <v>46285</v>
      </c>
      <c r="B70" s="16" t="s">
        <v>76</v>
      </c>
      <c r="C70" s="16" t="s">
        <v>12</v>
      </c>
      <c r="D70" s="17" t="n">
        <v>70</v>
      </c>
      <c r="E70" s="17"/>
      <c r="F70" s="16" t="s">
        <v>63</v>
      </c>
      <c r="G70" s="18" t="s">
        <v>64</v>
      </c>
      <c r="H70" s="18" t="n">
        <v>2</v>
      </c>
      <c r="I70" s="16" t="s">
        <v>71</v>
      </c>
      <c r="J70" s="16"/>
      <c r="K70" s="18" t="s">
        <v>53</v>
      </c>
      <c r="L70" s="16"/>
      <c r="M70" s="18"/>
      <c r="N70" s="19"/>
      <c r="O70" s="18" t="n">
        <v>73</v>
      </c>
    </row>
  </sheetData>
  <autoFilter ref="A1:O70"/>
  <conditionalFormatting sqref="A2:O1000">
    <cfRule type="expression" priority="2" aboveAverage="0" equalAverage="0" bottom="0" percent="0" rank="0" text="" dxfId="7">
      <formula>$M2="SIM"</formula>
    </cfRule>
  </conditionalFormatting>
  <dataValidations count="6">
    <dataValidation allowBlank="true" error="Escolhe uma das opções da lista, por favor." errorStyle="stop" errorTitle="Escolha na lista" operator="between" showDropDown="false" showErrorMessage="true" showInputMessage="false" sqref="F2:F1000" type="list">
      <formula1>"Pix,Dinheiro,Débito,Crédito,Fiado,Cartão,Não informado"</formula1>
      <formula2>0</formula2>
    </dataValidation>
    <dataValidation allowBlank="true" error="Escolhe uma das opções da lista, por favor." errorStyle="stop" errorTitle="Escolha na lista" operator="between" showDropDown="false" showErrorMessage="true" showInputMessage="false" sqref="G2:G1000" type="list">
      <formula1>"Visa,Master,Elo,Hipercard,Amex"</formula1>
      <formula2>0</formula2>
    </dataValidation>
    <dataValidation allowBlank="true" error="Escolhe uma das opções da lista, por favor." errorStyle="stop" errorTitle="Escolha na lista" operator="between" showDropDown="false" showErrorMessage="true" showInputMessage="false" sqref="I2:I1000" type="list">
      <formula1>"Retirou na loja,Correios,Motoboy,Não informado"</formula1>
      <formula2>0</formula2>
    </dataValidation>
    <dataValidation allowBlank="true" error="Escolhe uma das opções da lista, por favor." errorStyle="stop" errorTitle="Escolha na lista" operator="between" showDropDown="false" showErrorMessage="true" showInputMessage="false" sqref="K2:K1000" type="list">
      <formula1>"Sim,Não"</formula1>
      <formula2>0</formula2>
    </dataValidation>
    <dataValidation allowBlank="true" error="Escreve a data assim: 07/10/2026" errorStyle="stop" errorTitle="Data" operator="between" showDropDown="false" showErrorMessage="true" showInputMessage="false" sqref="A2:A1000" type="date">
      <formula1>DATE(2020,1,1)</formula1>
      <formula2>DATE(2100,1,1)</formula2>
    </dataValidation>
    <dataValidation allowBlank="true" error="Só o número, ex.: 35 ou 35,50" errorStyle="stop" errorTitle="Valor" operator="greaterThanOrEqual" showDropDown="false" showErrorMessage="true" showInputMessage="false" sqref="D2:D10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AD9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58"/>
    <col collapsed="false" customWidth="true" hidden="false" outlineLevel="0" max="9" min="9" style="0" width="11"/>
  </cols>
  <sheetData>
    <row r="1" customFormat="false" ht="21.75" hidden="false" customHeight="true" outlineLevel="0" collapsed="false">
      <c r="A1" s="4" t="s">
        <v>34</v>
      </c>
      <c r="B1" s="4" t="s">
        <v>130</v>
      </c>
      <c r="C1" s="4" t="s">
        <v>35</v>
      </c>
      <c r="D1" s="4" t="s">
        <v>36</v>
      </c>
      <c r="E1" s="4" t="s">
        <v>37</v>
      </c>
      <c r="F1" s="4" t="s">
        <v>39</v>
      </c>
      <c r="G1" s="4" t="s">
        <v>45</v>
      </c>
      <c r="H1" s="4" t="s">
        <v>47</v>
      </c>
      <c r="I1" s="4" t="s">
        <v>48</v>
      </c>
    </row>
    <row r="2" customFormat="false" ht="15" hidden="false" customHeight="false" outlineLevel="0" collapsed="false">
      <c r="A2" s="15" t="n">
        <v>46267</v>
      </c>
      <c r="B2" s="16" t="s">
        <v>131</v>
      </c>
      <c r="C2" s="16" t="s">
        <v>132</v>
      </c>
      <c r="D2" s="16" t="s">
        <v>133</v>
      </c>
      <c r="E2" s="17" t="n">
        <v>200</v>
      </c>
      <c r="F2" s="16" t="s">
        <v>57</v>
      </c>
      <c r="G2" s="16" t="s">
        <v>134</v>
      </c>
      <c r="H2" s="19"/>
      <c r="I2" s="18" t="n">
        <v>33</v>
      </c>
    </row>
    <row r="3" customFormat="false" ht="15" hidden="false" customHeight="false" outlineLevel="0" collapsed="false">
      <c r="A3" s="20" t="n">
        <v>46283</v>
      </c>
      <c r="B3" s="21" t="s">
        <v>135</v>
      </c>
      <c r="C3" s="21" t="s">
        <v>136</v>
      </c>
      <c r="D3" s="21" t="s">
        <v>58</v>
      </c>
      <c r="E3" s="22" t="n">
        <v>40</v>
      </c>
      <c r="F3" s="21" t="s">
        <v>57</v>
      </c>
      <c r="G3" s="21" t="s">
        <v>137</v>
      </c>
      <c r="H3" s="24"/>
      <c r="I3" s="23" t="n">
        <v>52</v>
      </c>
    </row>
    <row r="5" customFormat="false" ht="15" hidden="false" customHeight="false" outlineLevel="0" collapsed="false">
      <c r="A5" s="1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1" min="2" style="0" width="14"/>
  </cols>
  <sheetData>
    <row r="1" customFormat="false" ht="21.75" hidden="false" customHeight="true" outlineLevel="0" collapsed="false">
      <c r="A1" s="31" t="s">
        <v>48</v>
      </c>
      <c r="B1" s="31" t="s">
        <v>139</v>
      </c>
      <c r="C1" s="31" t="s">
        <v>140</v>
      </c>
      <c r="D1" s="31" t="s">
        <v>141</v>
      </c>
      <c r="E1" s="31" t="s">
        <v>142</v>
      </c>
      <c r="F1" s="31" t="s">
        <v>143</v>
      </c>
      <c r="G1" s="31" t="s">
        <v>144</v>
      </c>
      <c r="H1" s="31" t="s">
        <v>145</v>
      </c>
      <c r="I1" s="31" t="s">
        <v>146</v>
      </c>
      <c r="J1" s="31" t="s">
        <v>147</v>
      </c>
      <c r="K1" s="31" t="s">
        <v>148</v>
      </c>
    </row>
    <row r="2" customFormat="false" ht="15" hidden="false" customHeight="false" outlineLevel="0" collapsed="false">
      <c r="A2" s="13" t="n">
        <v>2</v>
      </c>
      <c r="B2" s="5" t="s">
        <v>149</v>
      </c>
      <c r="C2" s="5" t="s">
        <v>150</v>
      </c>
      <c r="D2" s="5" t="s">
        <v>50</v>
      </c>
      <c r="E2" s="5" t="s">
        <v>151</v>
      </c>
      <c r="F2" s="5" t="s">
        <v>152</v>
      </c>
      <c r="G2" s="5"/>
      <c r="H2" s="5"/>
      <c r="I2" s="5" t="s">
        <v>153</v>
      </c>
      <c r="J2" s="5"/>
      <c r="K2" s="5" t="s">
        <v>54</v>
      </c>
    </row>
    <row r="3" customFormat="false" ht="15" hidden="false" customHeight="false" outlineLevel="0" collapsed="false">
      <c r="A3" s="13" t="n">
        <v>3</v>
      </c>
      <c r="B3" s="5" t="s">
        <v>154</v>
      </c>
      <c r="C3" s="5" t="s">
        <v>155</v>
      </c>
      <c r="D3" s="5" t="s">
        <v>56</v>
      </c>
      <c r="E3" s="5" t="s">
        <v>156</v>
      </c>
      <c r="F3" s="5" t="s">
        <v>157</v>
      </c>
      <c r="G3" s="5"/>
      <c r="H3" s="5"/>
      <c r="I3" s="5" t="s">
        <v>158</v>
      </c>
      <c r="J3" s="5"/>
      <c r="K3" s="5"/>
    </row>
    <row r="4" customFormat="false" ht="15" hidden="false" customHeight="false" outlineLevel="0" collapsed="false">
      <c r="A4" s="13" t="n">
        <v>4</v>
      </c>
      <c r="B4" s="5" t="s">
        <v>159</v>
      </c>
      <c r="C4" s="5" t="s">
        <v>150</v>
      </c>
      <c r="D4" s="5" t="s">
        <v>58</v>
      </c>
      <c r="E4" s="5" t="s">
        <v>151</v>
      </c>
      <c r="F4" s="5" t="s">
        <v>160</v>
      </c>
      <c r="G4" s="5" t="s">
        <v>161</v>
      </c>
      <c r="H4" s="5" t="s">
        <v>162</v>
      </c>
      <c r="I4" s="5" t="s">
        <v>163</v>
      </c>
      <c r="J4" s="5"/>
      <c r="K4" s="5"/>
    </row>
    <row r="5" customFormat="false" ht="15" hidden="false" customHeight="false" outlineLevel="0" collapsed="false">
      <c r="A5" s="13" t="n">
        <v>5</v>
      </c>
      <c r="B5" s="5" t="s">
        <v>164</v>
      </c>
      <c r="C5" s="5" t="s">
        <v>165</v>
      </c>
      <c r="D5" s="5" t="s">
        <v>62</v>
      </c>
      <c r="E5" s="5" t="s">
        <v>166</v>
      </c>
      <c r="F5" s="5" t="s">
        <v>167</v>
      </c>
      <c r="G5" s="5" t="s">
        <v>168</v>
      </c>
      <c r="H5" s="5" t="s">
        <v>169</v>
      </c>
      <c r="I5" s="5" t="s">
        <v>170</v>
      </c>
      <c r="J5" s="5"/>
      <c r="K5" s="5"/>
    </row>
    <row r="6" customFormat="false" ht="15" hidden="false" customHeight="false" outlineLevel="0" collapsed="false">
      <c r="A6" s="13" t="n">
        <v>6</v>
      </c>
      <c r="B6" s="5" t="s">
        <v>171</v>
      </c>
      <c r="C6" s="5" t="s">
        <v>172</v>
      </c>
      <c r="D6" s="5" t="s">
        <v>67</v>
      </c>
      <c r="E6" s="5" t="s">
        <v>173</v>
      </c>
      <c r="F6" s="5" t="s">
        <v>152</v>
      </c>
      <c r="G6" s="5"/>
      <c r="H6" s="5"/>
      <c r="I6" s="5" t="s">
        <v>174</v>
      </c>
      <c r="J6" s="5"/>
      <c r="K6" s="5"/>
    </row>
    <row r="7" customFormat="false" ht="15" hidden="false" customHeight="false" outlineLevel="0" collapsed="false">
      <c r="A7" s="13" t="n">
        <v>7</v>
      </c>
      <c r="B7" s="5" t="s">
        <v>175</v>
      </c>
      <c r="C7" s="5" t="s">
        <v>176</v>
      </c>
      <c r="D7" s="5" t="s">
        <v>12</v>
      </c>
      <c r="E7" s="5" t="s">
        <v>177</v>
      </c>
      <c r="F7" s="5" t="s">
        <v>157</v>
      </c>
      <c r="G7" s="5"/>
      <c r="H7" s="5"/>
      <c r="I7" s="5"/>
      <c r="J7" s="5"/>
      <c r="K7" s="5"/>
    </row>
    <row r="8" customFormat="false" ht="15" hidden="false" customHeight="false" outlineLevel="0" collapsed="false">
      <c r="A8" s="13" t="n">
        <v>8</v>
      </c>
      <c r="B8" s="5" t="s">
        <v>178</v>
      </c>
      <c r="C8" s="5" t="s">
        <v>179</v>
      </c>
      <c r="D8" s="5" t="s">
        <v>73</v>
      </c>
      <c r="E8" s="5" t="s">
        <v>180</v>
      </c>
      <c r="F8" s="5" t="s">
        <v>160</v>
      </c>
      <c r="G8" s="5" t="s">
        <v>161</v>
      </c>
      <c r="H8" s="5" t="s">
        <v>162</v>
      </c>
      <c r="I8" s="5" t="s">
        <v>153</v>
      </c>
      <c r="J8" s="5"/>
      <c r="K8" s="5"/>
    </row>
    <row r="9" customFormat="false" ht="15" hidden="false" customHeight="false" outlineLevel="0" collapsed="false">
      <c r="A9" s="13" t="n">
        <v>9</v>
      </c>
      <c r="B9" s="5" t="s">
        <v>181</v>
      </c>
      <c r="C9" s="5" t="s">
        <v>182</v>
      </c>
      <c r="D9" s="5" t="s">
        <v>77</v>
      </c>
      <c r="E9" s="5" t="s">
        <v>183</v>
      </c>
      <c r="F9" s="5" t="s">
        <v>167</v>
      </c>
      <c r="G9" s="5" t="s">
        <v>168</v>
      </c>
      <c r="H9" s="5" t="s">
        <v>169</v>
      </c>
      <c r="I9" s="5" t="s">
        <v>158</v>
      </c>
      <c r="J9" s="5"/>
      <c r="K9" s="5"/>
    </row>
    <row r="10" customFormat="false" ht="15" hidden="false" customHeight="false" outlineLevel="0" collapsed="false">
      <c r="A10" s="13" t="n">
        <v>10</v>
      </c>
      <c r="B10" s="5" t="s">
        <v>184</v>
      </c>
      <c r="C10" s="5" t="s">
        <v>185</v>
      </c>
      <c r="D10" s="5" t="s">
        <v>79</v>
      </c>
      <c r="E10" s="5" t="s">
        <v>186</v>
      </c>
      <c r="F10" s="5" t="s">
        <v>152</v>
      </c>
      <c r="G10" s="5"/>
      <c r="H10" s="5"/>
      <c r="I10" s="5" t="s">
        <v>163</v>
      </c>
      <c r="J10" s="5"/>
      <c r="K10" s="5"/>
    </row>
    <row r="11" customFormat="false" ht="15" hidden="false" customHeight="false" outlineLevel="0" collapsed="false">
      <c r="A11" s="13" t="n">
        <v>11</v>
      </c>
      <c r="B11" s="5" t="s">
        <v>187</v>
      </c>
      <c r="C11" s="5" t="s">
        <v>188</v>
      </c>
      <c r="D11" s="5" t="s">
        <v>189</v>
      </c>
      <c r="E11" s="5" t="s">
        <v>190</v>
      </c>
      <c r="F11" s="5" t="s">
        <v>157</v>
      </c>
      <c r="G11" s="5"/>
      <c r="H11" s="5"/>
      <c r="I11" s="5" t="s">
        <v>170</v>
      </c>
      <c r="J11" s="5"/>
      <c r="K11" s="5" t="s">
        <v>82</v>
      </c>
    </row>
    <row r="12" customFormat="false" ht="15" hidden="false" customHeight="false" outlineLevel="0" collapsed="false">
      <c r="A12" s="13" t="n">
        <v>12</v>
      </c>
      <c r="B12" s="5" t="s">
        <v>191</v>
      </c>
      <c r="C12" s="5" t="s">
        <v>165</v>
      </c>
      <c r="D12" s="5" t="s">
        <v>192</v>
      </c>
      <c r="E12" s="5" t="s">
        <v>193</v>
      </c>
      <c r="F12" s="5" t="s">
        <v>194</v>
      </c>
      <c r="G12" s="5"/>
      <c r="H12" s="5"/>
      <c r="I12" s="5" t="s">
        <v>153</v>
      </c>
      <c r="J12" s="5"/>
      <c r="K12" s="5"/>
    </row>
    <row r="13" customFormat="false" ht="15" hidden="false" customHeight="false" outlineLevel="0" collapsed="false">
      <c r="A13" s="13" t="n">
        <v>13</v>
      </c>
      <c r="B13" s="5" t="s">
        <v>195</v>
      </c>
      <c r="C13" s="5" t="s">
        <v>196</v>
      </c>
      <c r="D13" s="5" t="s">
        <v>88</v>
      </c>
      <c r="E13" s="5" t="s">
        <v>197</v>
      </c>
      <c r="F13" s="5" t="s">
        <v>167</v>
      </c>
      <c r="G13" s="5" t="s">
        <v>168</v>
      </c>
      <c r="H13" s="5" t="s">
        <v>169</v>
      </c>
      <c r="I13" s="5"/>
      <c r="J13" s="5"/>
      <c r="K13" s="5" t="s">
        <v>54</v>
      </c>
    </row>
    <row r="14" customFormat="false" ht="15" hidden="false" customHeight="false" outlineLevel="0" collapsed="false">
      <c r="A14" s="13" t="n">
        <v>14</v>
      </c>
      <c r="B14" s="5"/>
      <c r="C14" s="5" t="s">
        <v>198</v>
      </c>
      <c r="D14" s="5" t="s">
        <v>90</v>
      </c>
      <c r="E14" s="5" t="s">
        <v>199</v>
      </c>
      <c r="F14" s="5" t="s">
        <v>152</v>
      </c>
      <c r="G14" s="5"/>
      <c r="H14" s="5"/>
      <c r="I14" s="5" t="s">
        <v>153</v>
      </c>
      <c r="J14" s="5"/>
      <c r="K14" s="5"/>
    </row>
    <row r="15" customFormat="false" ht="15" hidden="false" customHeight="false" outlineLevel="0" collapsed="false">
      <c r="A15" s="13" t="n">
        <v>15</v>
      </c>
      <c r="B15" s="5" t="s">
        <v>200</v>
      </c>
      <c r="C15" s="5" t="s">
        <v>201</v>
      </c>
      <c r="D15" s="5" t="s">
        <v>93</v>
      </c>
      <c r="E15" s="5" t="s">
        <v>202</v>
      </c>
      <c r="F15" s="5" t="s">
        <v>157</v>
      </c>
      <c r="G15" s="5"/>
      <c r="H15" s="5"/>
      <c r="I15" s="5" t="s">
        <v>158</v>
      </c>
      <c r="J15" s="5"/>
      <c r="K15" s="5" t="s">
        <v>94</v>
      </c>
    </row>
    <row r="16" customFormat="false" ht="15" hidden="false" customHeight="false" outlineLevel="0" collapsed="false">
      <c r="A16" s="13" t="n">
        <v>16</v>
      </c>
      <c r="B16" s="5" t="s">
        <v>203</v>
      </c>
      <c r="C16" s="5" t="s">
        <v>204</v>
      </c>
      <c r="D16" s="5" t="s">
        <v>56</v>
      </c>
      <c r="E16" s="5" t="s">
        <v>205</v>
      </c>
      <c r="F16" s="5" t="s">
        <v>152</v>
      </c>
      <c r="G16" s="5"/>
      <c r="H16" s="5"/>
      <c r="I16" s="5" t="s">
        <v>153</v>
      </c>
      <c r="J16" s="5"/>
      <c r="K16" s="5"/>
    </row>
    <row r="17" customFormat="false" ht="15" hidden="false" customHeight="false" outlineLevel="0" collapsed="false">
      <c r="A17" s="13" t="n">
        <v>17</v>
      </c>
      <c r="B17" s="5" t="s">
        <v>203</v>
      </c>
      <c r="C17" s="5" t="s">
        <v>204</v>
      </c>
      <c r="D17" s="5" t="s">
        <v>56</v>
      </c>
      <c r="E17" s="5" t="s">
        <v>205</v>
      </c>
      <c r="F17" s="5" t="s">
        <v>152</v>
      </c>
      <c r="G17" s="5"/>
      <c r="H17" s="5"/>
      <c r="I17" s="5" t="s">
        <v>153</v>
      </c>
      <c r="J17" s="5"/>
      <c r="K17" s="5"/>
    </row>
    <row r="18" customFormat="false" ht="15" hidden="false" customHeight="false" outlineLevel="0" collapsed="false">
      <c r="A18" s="13" t="n">
        <v>18</v>
      </c>
      <c r="B18" s="5" t="s">
        <v>206</v>
      </c>
      <c r="C18" s="5" t="s">
        <v>150</v>
      </c>
      <c r="D18" s="5" t="s">
        <v>207</v>
      </c>
      <c r="E18" s="5" t="s">
        <v>151</v>
      </c>
      <c r="F18" s="5" t="s">
        <v>152</v>
      </c>
      <c r="G18" s="5"/>
      <c r="H18" s="5"/>
      <c r="I18" s="5" t="s">
        <v>174</v>
      </c>
      <c r="J18" s="5"/>
      <c r="K18" s="5"/>
    </row>
    <row r="19" customFormat="false" ht="15" hidden="false" customHeight="false" outlineLevel="0" collapsed="false">
      <c r="A19" s="13" t="n">
        <v>19</v>
      </c>
      <c r="B19" s="5" t="s">
        <v>208</v>
      </c>
      <c r="C19" s="5" t="s">
        <v>150</v>
      </c>
      <c r="D19" s="5" t="s">
        <v>209</v>
      </c>
      <c r="E19" s="5" t="s">
        <v>210</v>
      </c>
      <c r="F19" s="5" t="s">
        <v>157</v>
      </c>
      <c r="G19" s="5"/>
      <c r="H19" s="5"/>
      <c r="I19" s="5"/>
      <c r="J19" s="5"/>
      <c r="K19" s="5"/>
    </row>
    <row r="20" customFormat="false" ht="15" hidden="false" customHeight="false" outlineLevel="0" collapsed="false">
      <c r="A20" s="13" t="n">
        <v>20</v>
      </c>
      <c r="B20" s="5" t="s">
        <v>211</v>
      </c>
      <c r="C20" s="5" t="s">
        <v>204</v>
      </c>
      <c r="D20" s="5" t="s">
        <v>212</v>
      </c>
      <c r="E20" s="5" t="s">
        <v>213</v>
      </c>
      <c r="F20" s="5" t="s">
        <v>214</v>
      </c>
      <c r="G20" s="5" t="s">
        <v>168</v>
      </c>
      <c r="H20" s="5" t="s">
        <v>215</v>
      </c>
      <c r="I20" s="5" t="s">
        <v>153</v>
      </c>
      <c r="J20" s="5"/>
      <c r="K20" s="5"/>
    </row>
    <row r="21" customFormat="false" ht="15" hidden="false" customHeight="false" outlineLevel="0" collapsed="false">
      <c r="A21" s="13" t="n">
        <v>21</v>
      </c>
      <c r="B21" s="5" t="s">
        <v>216</v>
      </c>
      <c r="C21" s="5" t="s">
        <v>165</v>
      </c>
      <c r="D21" s="5" t="s">
        <v>217</v>
      </c>
      <c r="E21" s="5" t="s">
        <v>166</v>
      </c>
      <c r="F21" s="5" t="s">
        <v>218</v>
      </c>
      <c r="G21" s="5"/>
      <c r="H21" s="5"/>
      <c r="I21" s="5" t="s">
        <v>158</v>
      </c>
      <c r="J21" s="5"/>
      <c r="K21" s="5"/>
    </row>
    <row r="22" customFormat="false" ht="15" hidden="false" customHeight="false" outlineLevel="0" collapsed="false">
      <c r="A22" s="13" t="n">
        <v>22</v>
      </c>
      <c r="B22" s="5" t="s">
        <v>219</v>
      </c>
      <c r="C22" s="5" t="s">
        <v>220</v>
      </c>
      <c r="D22" s="5" t="s">
        <v>221</v>
      </c>
      <c r="E22" s="5" t="s">
        <v>222</v>
      </c>
      <c r="F22" s="5" t="s">
        <v>152</v>
      </c>
      <c r="G22" s="5"/>
      <c r="H22" s="5"/>
      <c r="I22" s="5" t="s">
        <v>163</v>
      </c>
      <c r="J22" s="5"/>
      <c r="K22" s="5"/>
    </row>
    <row r="23" customFormat="false" ht="15" hidden="false" customHeight="false" outlineLevel="0" collapsed="false">
      <c r="A23" s="13" t="n">
        <v>23</v>
      </c>
      <c r="B23" s="5" t="s">
        <v>223</v>
      </c>
      <c r="C23" s="5" t="s">
        <v>176</v>
      </c>
      <c r="D23" s="5" t="s">
        <v>105</v>
      </c>
      <c r="E23" s="5" t="s">
        <v>177</v>
      </c>
      <c r="F23" s="5" t="s">
        <v>157</v>
      </c>
      <c r="G23" s="5"/>
      <c r="H23" s="5"/>
      <c r="I23" s="5" t="s">
        <v>170</v>
      </c>
      <c r="J23" s="5"/>
      <c r="K23" s="5"/>
    </row>
    <row r="24" customFormat="false" ht="15" hidden="false" customHeight="false" outlineLevel="0" collapsed="false">
      <c r="A24" s="13" t="n">
        <v>24</v>
      </c>
      <c r="B24" s="5" t="s">
        <v>224</v>
      </c>
      <c r="C24" s="5" t="s">
        <v>179</v>
      </c>
      <c r="D24" s="5" t="s">
        <v>50</v>
      </c>
      <c r="E24" s="5" t="s">
        <v>180</v>
      </c>
      <c r="F24" s="5" t="s">
        <v>160</v>
      </c>
      <c r="G24" s="5" t="s">
        <v>161</v>
      </c>
      <c r="H24" s="5" t="s">
        <v>162</v>
      </c>
      <c r="I24" s="5" t="s">
        <v>174</v>
      </c>
      <c r="J24" s="5"/>
      <c r="K24" s="5" t="s">
        <v>54</v>
      </c>
    </row>
    <row r="25" customFormat="false" ht="15" hidden="false" customHeight="false" outlineLevel="0" collapsed="false">
      <c r="A25" s="13" t="n">
        <v>25</v>
      </c>
      <c r="B25" s="5" t="s">
        <v>225</v>
      </c>
      <c r="C25" s="5" t="s">
        <v>226</v>
      </c>
      <c r="D25" s="5" t="s">
        <v>50</v>
      </c>
      <c r="E25" s="5" t="s">
        <v>227</v>
      </c>
      <c r="F25" s="5" t="s">
        <v>152</v>
      </c>
      <c r="G25" s="5"/>
      <c r="H25" s="5"/>
      <c r="I25" s="5" t="s">
        <v>170</v>
      </c>
      <c r="J25" s="5" t="s">
        <v>24</v>
      </c>
      <c r="K25" s="5"/>
    </row>
    <row r="26" customFormat="false" ht="15" hidden="false" customHeight="false" outlineLevel="0" collapsed="false">
      <c r="A26" s="13" t="n">
        <v>26</v>
      </c>
      <c r="B26" s="5" t="s">
        <v>228</v>
      </c>
      <c r="C26" s="5" t="s">
        <v>229</v>
      </c>
      <c r="D26" s="5" t="s">
        <v>58</v>
      </c>
      <c r="E26" s="5" t="s">
        <v>230</v>
      </c>
      <c r="F26" s="5" t="s">
        <v>152</v>
      </c>
      <c r="G26" s="5"/>
      <c r="H26" s="5"/>
      <c r="I26" s="5" t="s">
        <v>153</v>
      </c>
      <c r="J26" s="5"/>
      <c r="K26" s="5"/>
    </row>
    <row r="27" customFormat="false" ht="15" hidden="false" customHeight="false" outlineLevel="0" collapsed="false">
      <c r="A27" s="13" t="n">
        <v>27</v>
      </c>
      <c r="B27" s="5" t="s">
        <v>231</v>
      </c>
      <c r="C27" s="5" t="s">
        <v>155</v>
      </c>
      <c r="D27" s="5" t="s">
        <v>27</v>
      </c>
      <c r="E27" s="5" t="s">
        <v>156</v>
      </c>
      <c r="F27" s="5" t="s">
        <v>152</v>
      </c>
      <c r="G27" s="5"/>
      <c r="H27" s="5"/>
      <c r="I27" s="5" t="s">
        <v>170</v>
      </c>
      <c r="J27" s="5"/>
      <c r="K27" s="5" t="s">
        <v>111</v>
      </c>
    </row>
    <row r="28" customFormat="false" ht="15" hidden="false" customHeight="false" outlineLevel="0" collapsed="false">
      <c r="A28" s="13" t="n">
        <v>28</v>
      </c>
      <c r="B28" s="5" t="s">
        <v>232</v>
      </c>
      <c r="C28" s="5" t="s">
        <v>233</v>
      </c>
      <c r="D28" s="5" t="s">
        <v>67</v>
      </c>
      <c r="E28" s="5" t="s">
        <v>234</v>
      </c>
      <c r="F28" s="5" t="s">
        <v>160</v>
      </c>
      <c r="G28" s="5" t="s">
        <v>161</v>
      </c>
      <c r="H28" s="5" t="s">
        <v>162</v>
      </c>
      <c r="I28" s="5" t="s">
        <v>163</v>
      </c>
      <c r="J28" s="5"/>
      <c r="K28" s="5" t="s">
        <v>94</v>
      </c>
    </row>
    <row r="29" customFormat="false" ht="15" hidden="false" customHeight="false" outlineLevel="0" collapsed="false">
      <c r="A29" s="13" t="n">
        <v>29</v>
      </c>
      <c r="B29" s="5" t="s">
        <v>235</v>
      </c>
      <c r="C29" s="5" t="s">
        <v>196</v>
      </c>
      <c r="D29" s="5" t="s">
        <v>12</v>
      </c>
      <c r="E29" s="5" t="s">
        <v>197</v>
      </c>
      <c r="F29" s="5" t="s">
        <v>167</v>
      </c>
      <c r="G29" s="5" t="s">
        <v>168</v>
      </c>
      <c r="H29" s="5" t="s">
        <v>169</v>
      </c>
      <c r="I29" s="5" t="s">
        <v>170</v>
      </c>
      <c r="J29" s="5"/>
      <c r="K29" s="5"/>
    </row>
    <row r="30" customFormat="false" ht="15" hidden="false" customHeight="false" outlineLevel="0" collapsed="false">
      <c r="A30" s="13" t="n">
        <v>30</v>
      </c>
      <c r="B30" s="5" t="s">
        <v>236</v>
      </c>
      <c r="C30" s="5" t="s">
        <v>198</v>
      </c>
      <c r="D30" s="5" t="s">
        <v>73</v>
      </c>
      <c r="E30" s="5" t="s">
        <v>199</v>
      </c>
      <c r="F30" s="5" t="s">
        <v>152</v>
      </c>
      <c r="G30" s="5"/>
      <c r="H30" s="5"/>
      <c r="I30" s="5" t="s">
        <v>174</v>
      </c>
      <c r="J30" s="5"/>
      <c r="K30" s="5"/>
    </row>
    <row r="31" customFormat="false" ht="15" hidden="false" customHeight="false" outlineLevel="0" collapsed="false">
      <c r="A31" s="13" t="n">
        <v>31</v>
      </c>
      <c r="B31" s="5" t="s">
        <v>237</v>
      </c>
      <c r="C31" s="5" t="s">
        <v>201</v>
      </c>
      <c r="D31" s="5" t="s">
        <v>77</v>
      </c>
      <c r="E31" s="5" t="s">
        <v>202</v>
      </c>
      <c r="F31" s="5" t="s">
        <v>157</v>
      </c>
      <c r="G31" s="5"/>
      <c r="H31" s="5"/>
      <c r="I31" s="5"/>
      <c r="J31" s="5"/>
      <c r="K31" s="5"/>
    </row>
    <row r="32" customFormat="false" ht="15" hidden="false" customHeight="false" outlineLevel="0" collapsed="false">
      <c r="A32" s="13" t="n">
        <v>32</v>
      </c>
      <c r="B32" s="5" t="s">
        <v>238</v>
      </c>
      <c r="C32" s="5" t="s">
        <v>172</v>
      </c>
      <c r="D32" s="5" t="s">
        <v>79</v>
      </c>
      <c r="E32" s="5" t="s">
        <v>186</v>
      </c>
      <c r="F32" s="5" t="s">
        <v>160</v>
      </c>
      <c r="G32" s="5" t="s">
        <v>161</v>
      </c>
      <c r="H32" s="5" t="s">
        <v>162</v>
      </c>
      <c r="I32" s="5" t="s">
        <v>153</v>
      </c>
      <c r="J32" s="5"/>
      <c r="K32" s="5"/>
    </row>
    <row r="33" customFormat="false" ht="15" hidden="false" customHeight="false" outlineLevel="0" collapsed="false">
      <c r="A33" s="13" t="n">
        <v>33</v>
      </c>
      <c r="B33" s="5" t="s">
        <v>239</v>
      </c>
      <c r="C33" s="5" t="s">
        <v>240</v>
      </c>
      <c r="D33" s="5" t="s">
        <v>241</v>
      </c>
      <c r="E33" s="5" t="s">
        <v>242</v>
      </c>
      <c r="F33" s="5" t="s">
        <v>157</v>
      </c>
      <c r="G33" s="5"/>
      <c r="H33" s="5"/>
      <c r="I33" s="5"/>
      <c r="J33" s="5"/>
      <c r="K33" s="5" t="s">
        <v>134</v>
      </c>
    </row>
    <row r="34" customFormat="false" ht="15" hidden="false" customHeight="false" outlineLevel="0" collapsed="false">
      <c r="A34" s="13" t="n">
        <v>34</v>
      </c>
      <c r="B34" s="5" t="s">
        <v>243</v>
      </c>
      <c r="C34" s="5" t="s">
        <v>150</v>
      </c>
      <c r="D34" s="5" t="s">
        <v>114</v>
      </c>
      <c r="E34" s="5" t="s">
        <v>151</v>
      </c>
      <c r="F34" s="5" t="s">
        <v>152</v>
      </c>
      <c r="G34" s="5"/>
      <c r="H34" s="5"/>
      <c r="I34" s="5" t="s">
        <v>163</v>
      </c>
      <c r="J34" s="5"/>
      <c r="K34" s="5"/>
    </row>
    <row r="35" customFormat="false" ht="15" hidden="false" customHeight="false" outlineLevel="0" collapsed="false">
      <c r="A35" s="13" t="n">
        <v>35</v>
      </c>
      <c r="B35" s="5" t="s">
        <v>244</v>
      </c>
      <c r="C35" s="5" t="s">
        <v>155</v>
      </c>
      <c r="D35" s="5" t="s">
        <v>88</v>
      </c>
      <c r="E35" s="5" t="s">
        <v>156</v>
      </c>
      <c r="F35" s="5" t="s">
        <v>157</v>
      </c>
      <c r="G35" s="5"/>
      <c r="H35" s="5"/>
      <c r="I35" s="5" t="s">
        <v>170</v>
      </c>
      <c r="J35" s="5"/>
      <c r="K35" s="5" t="s">
        <v>54</v>
      </c>
    </row>
    <row r="36" customFormat="false" ht="15" hidden="false" customHeight="false" outlineLevel="0" collapsed="false">
      <c r="A36" s="13" t="n">
        <v>36</v>
      </c>
      <c r="B36" s="5" t="s">
        <v>245</v>
      </c>
      <c r="C36" s="5" t="s">
        <v>204</v>
      </c>
      <c r="D36" s="5" t="s">
        <v>90</v>
      </c>
      <c r="E36" s="5" t="s">
        <v>213</v>
      </c>
      <c r="F36" s="5"/>
      <c r="G36" s="5"/>
      <c r="H36" s="5"/>
      <c r="I36" s="5" t="s">
        <v>174</v>
      </c>
      <c r="J36" s="5"/>
      <c r="K36" s="5" t="s">
        <v>115</v>
      </c>
    </row>
    <row r="37" customFormat="false" ht="15" hidden="false" customHeight="false" outlineLevel="0" collapsed="false">
      <c r="A37" s="13" t="n">
        <v>37</v>
      </c>
      <c r="B37" s="5" t="s">
        <v>246</v>
      </c>
      <c r="C37" s="5" t="s">
        <v>165</v>
      </c>
      <c r="D37" s="5" t="s">
        <v>93</v>
      </c>
      <c r="E37" s="5" t="s">
        <v>166</v>
      </c>
      <c r="F37" s="5" t="s">
        <v>167</v>
      </c>
      <c r="G37" s="5" t="s">
        <v>168</v>
      </c>
      <c r="H37" s="5" t="s">
        <v>169</v>
      </c>
      <c r="I37" s="5"/>
      <c r="J37" s="5"/>
      <c r="K37" s="5"/>
    </row>
    <row r="38" customFormat="false" ht="15" hidden="false" customHeight="false" outlineLevel="0" collapsed="false">
      <c r="A38" s="13" t="n">
        <v>38</v>
      </c>
      <c r="B38" s="5" t="s">
        <v>247</v>
      </c>
      <c r="C38" s="5" t="s">
        <v>220</v>
      </c>
      <c r="D38" s="5" t="s">
        <v>117</v>
      </c>
      <c r="E38" s="5" t="s">
        <v>222</v>
      </c>
      <c r="F38" s="5" t="s">
        <v>152</v>
      </c>
      <c r="G38" s="5"/>
      <c r="H38" s="5"/>
      <c r="I38" s="5" t="s">
        <v>153</v>
      </c>
      <c r="J38" s="5"/>
      <c r="K38" s="5"/>
    </row>
    <row r="39" customFormat="false" ht="15" hidden="false" customHeight="false" outlineLevel="0" collapsed="false">
      <c r="A39" s="13" t="n">
        <v>39</v>
      </c>
      <c r="B39" s="5" t="s">
        <v>191</v>
      </c>
      <c r="C39" s="5" t="s">
        <v>176</v>
      </c>
      <c r="D39" s="5" t="s">
        <v>118</v>
      </c>
      <c r="E39" s="5" t="s">
        <v>177</v>
      </c>
      <c r="F39" s="5" t="s">
        <v>157</v>
      </c>
      <c r="G39" s="5"/>
      <c r="H39" s="5"/>
      <c r="I39" s="5" t="s">
        <v>158</v>
      </c>
      <c r="J39" s="5"/>
      <c r="K39" s="5"/>
    </row>
    <row r="40" customFormat="false" ht="15" hidden="false" customHeight="false" outlineLevel="0" collapsed="false">
      <c r="A40" s="13" t="n">
        <v>40</v>
      </c>
      <c r="B40" s="5" t="s">
        <v>248</v>
      </c>
      <c r="C40" s="5" t="s">
        <v>179</v>
      </c>
      <c r="D40" s="5" t="s">
        <v>207</v>
      </c>
      <c r="E40" s="5" t="s">
        <v>180</v>
      </c>
      <c r="F40" s="5" t="s">
        <v>160</v>
      </c>
      <c r="G40" s="5" t="s">
        <v>161</v>
      </c>
      <c r="H40" s="5" t="s">
        <v>162</v>
      </c>
      <c r="I40" s="5" t="s">
        <v>163</v>
      </c>
      <c r="J40" s="5"/>
      <c r="K40" s="5"/>
    </row>
    <row r="41" customFormat="false" ht="15" hidden="false" customHeight="false" outlineLevel="0" collapsed="false">
      <c r="A41" s="13" t="n">
        <v>41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Format="false" ht="15" hidden="false" customHeight="false" outlineLevel="0" collapsed="false">
      <c r="A42" s="13" t="n">
        <v>42</v>
      </c>
      <c r="B42" s="5" t="s">
        <v>249</v>
      </c>
      <c r="C42" s="5" t="s">
        <v>229</v>
      </c>
      <c r="D42" s="5" t="s">
        <v>212</v>
      </c>
      <c r="E42" s="5" t="s">
        <v>230</v>
      </c>
      <c r="F42" s="5" t="s">
        <v>152</v>
      </c>
      <c r="G42" s="5"/>
      <c r="H42" s="5"/>
      <c r="I42" s="5" t="s">
        <v>174</v>
      </c>
      <c r="J42" s="5"/>
      <c r="K42" s="5"/>
    </row>
    <row r="43" customFormat="false" ht="15" hidden="false" customHeight="false" outlineLevel="0" collapsed="false">
      <c r="A43" s="13" t="n">
        <v>43</v>
      </c>
      <c r="B43" s="5" t="s">
        <v>250</v>
      </c>
      <c r="C43" s="5" t="s">
        <v>188</v>
      </c>
      <c r="D43" s="5" t="s">
        <v>217</v>
      </c>
      <c r="E43" s="5" t="s">
        <v>190</v>
      </c>
      <c r="F43" s="5" t="s">
        <v>157</v>
      </c>
      <c r="G43" s="5"/>
      <c r="H43" s="5"/>
      <c r="I43" s="5"/>
      <c r="J43" s="5"/>
      <c r="K43" s="5"/>
    </row>
    <row r="44" customFormat="false" ht="15" hidden="false" customHeight="false" outlineLevel="0" collapsed="false">
      <c r="A44" s="13" t="n">
        <v>44</v>
      </c>
      <c r="B44" s="5" t="s">
        <v>251</v>
      </c>
      <c r="C44" s="5" t="s">
        <v>196</v>
      </c>
      <c r="D44" s="5" t="s">
        <v>77</v>
      </c>
      <c r="E44" s="5" t="s">
        <v>197</v>
      </c>
      <c r="F44" s="5" t="s">
        <v>152</v>
      </c>
      <c r="G44" s="5"/>
      <c r="H44" s="5"/>
      <c r="I44" s="5" t="s">
        <v>252</v>
      </c>
      <c r="J44" s="5" t="s">
        <v>30</v>
      </c>
      <c r="K44" s="5"/>
    </row>
    <row r="45" customFormat="false" ht="15" hidden="false" customHeight="false" outlineLevel="0" collapsed="false">
      <c r="A45" s="13" t="n">
        <v>45</v>
      </c>
      <c r="B45" s="5"/>
      <c r="C45" s="5" t="s">
        <v>196</v>
      </c>
      <c r="D45" s="5" t="s">
        <v>105</v>
      </c>
      <c r="E45" s="5" t="s">
        <v>197</v>
      </c>
      <c r="F45" s="5" t="s">
        <v>167</v>
      </c>
      <c r="G45" s="5" t="s">
        <v>168</v>
      </c>
      <c r="H45" s="5" t="s">
        <v>169</v>
      </c>
      <c r="I45" s="5" t="s">
        <v>158</v>
      </c>
      <c r="J45" s="5"/>
      <c r="K45" s="5"/>
    </row>
    <row r="46" customFormat="false" ht="15" hidden="false" customHeight="false" outlineLevel="0" collapsed="false">
      <c r="A46" s="13" t="n">
        <v>46</v>
      </c>
      <c r="B46" s="5" t="s">
        <v>253</v>
      </c>
      <c r="C46" s="5" t="s">
        <v>198</v>
      </c>
      <c r="D46" s="5" t="s">
        <v>50</v>
      </c>
      <c r="E46" s="5" t="s">
        <v>199</v>
      </c>
      <c r="F46" s="5" t="s">
        <v>152</v>
      </c>
      <c r="G46" s="5"/>
      <c r="H46" s="5"/>
      <c r="I46" s="5" t="s">
        <v>163</v>
      </c>
      <c r="J46" s="5"/>
      <c r="K46" s="5" t="s">
        <v>54</v>
      </c>
    </row>
    <row r="47" customFormat="false" ht="15" hidden="false" customHeight="false" outlineLevel="0" collapsed="false">
      <c r="A47" s="13" t="n">
        <v>47</v>
      </c>
      <c r="B47" s="5" t="s">
        <v>254</v>
      </c>
      <c r="C47" s="5" t="s">
        <v>201</v>
      </c>
      <c r="D47" s="5" t="s">
        <v>56</v>
      </c>
      <c r="E47" s="5" t="s">
        <v>202</v>
      </c>
      <c r="F47" s="5" t="s">
        <v>157</v>
      </c>
      <c r="G47" s="5"/>
      <c r="H47" s="5"/>
      <c r="I47" s="5" t="s">
        <v>170</v>
      </c>
      <c r="J47" s="5"/>
      <c r="K47" s="5"/>
    </row>
    <row r="48" customFormat="false" ht="15" hidden="false" customHeight="false" outlineLevel="0" collapsed="false">
      <c r="A48" s="13" t="n">
        <v>48</v>
      </c>
      <c r="B48" s="5" t="s">
        <v>255</v>
      </c>
      <c r="C48" s="5" t="s">
        <v>201</v>
      </c>
      <c r="D48" s="5" t="s">
        <v>256</v>
      </c>
      <c r="E48" s="5" t="s">
        <v>257</v>
      </c>
      <c r="F48" s="5" t="s">
        <v>258</v>
      </c>
      <c r="G48" s="5"/>
      <c r="H48" s="5"/>
      <c r="I48" s="5" t="s">
        <v>163</v>
      </c>
      <c r="J48" s="5"/>
      <c r="K48" s="5" t="s">
        <v>120</v>
      </c>
    </row>
    <row r="49" customFormat="false" ht="15" hidden="false" customHeight="false" outlineLevel="0" collapsed="false">
      <c r="A49" s="13" t="n">
        <v>49</v>
      </c>
      <c r="B49" s="5" t="s">
        <v>259</v>
      </c>
      <c r="C49" s="5" t="s">
        <v>185</v>
      </c>
      <c r="D49" s="5" t="s">
        <v>62</v>
      </c>
      <c r="E49" s="5" t="s">
        <v>173</v>
      </c>
      <c r="F49" s="5" t="s">
        <v>167</v>
      </c>
      <c r="G49" s="5" t="s">
        <v>168</v>
      </c>
      <c r="H49" s="5" t="s">
        <v>169</v>
      </c>
      <c r="I49" s="5"/>
      <c r="J49" s="5"/>
      <c r="K49" s="5"/>
    </row>
    <row r="50" customFormat="false" ht="15" hidden="false" customHeight="false" outlineLevel="0" collapsed="false">
      <c r="A50" s="13" t="n">
        <v>50</v>
      </c>
      <c r="B50" s="5" t="s">
        <v>260</v>
      </c>
      <c r="C50" s="5" t="s">
        <v>150</v>
      </c>
      <c r="D50" s="5" t="s">
        <v>67</v>
      </c>
      <c r="E50" s="5" t="s">
        <v>151</v>
      </c>
      <c r="F50" s="5" t="s">
        <v>152</v>
      </c>
      <c r="G50" s="5"/>
      <c r="H50" s="5"/>
      <c r="I50" s="5" t="s">
        <v>153</v>
      </c>
      <c r="J50" s="5"/>
      <c r="K50" s="5"/>
    </row>
    <row r="51" customFormat="false" ht="15" hidden="false" customHeight="false" outlineLevel="0" collapsed="false">
      <c r="A51" s="13" t="n">
        <v>51</v>
      </c>
      <c r="B51" s="5" t="s">
        <v>261</v>
      </c>
      <c r="C51" s="5" t="s">
        <v>155</v>
      </c>
      <c r="D51" s="5" t="s">
        <v>12</v>
      </c>
      <c r="E51" s="5" t="s">
        <v>156</v>
      </c>
      <c r="F51" s="5" t="s">
        <v>157</v>
      </c>
      <c r="G51" s="5"/>
      <c r="H51" s="5"/>
      <c r="I51" s="5" t="s">
        <v>158</v>
      </c>
      <c r="J51" s="5"/>
      <c r="K51" s="5"/>
    </row>
    <row r="52" customFormat="false" ht="15" hidden="false" customHeight="false" outlineLevel="0" collapsed="false">
      <c r="A52" s="13" t="n">
        <v>52</v>
      </c>
      <c r="B52" s="5" t="s">
        <v>262</v>
      </c>
      <c r="C52" s="5" t="s">
        <v>263</v>
      </c>
      <c r="D52" s="5" t="s">
        <v>58</v>
      </c>
      <c r="E52" s="5" t="s">
        <v>264</v>
      </c>
      <c r="F52" s="5" t="s">
        <v>157</v>
      </c>
      <c r="G52" s="5"/>
      <c r="H52" s="5"/>
      <c r="I52" s="5" t="s">
        <v>153</v>
      </c>
      <c r="J52" s="5"/>
      <c r="K52" s="5" t="s">
        <v>137</v>
      </c>
    </row>
    <row r="53" customFormat="false" ht="15" hidden="false" customHeight="false" outlineLevel="0" collapsed="false">
      <c r="A53" s="13" t="n">
        <v>53</v>
      </c>
      <c r="B53" s="5" t="s">
        <v>265</v>
      </c>
      <c r="C53" s="5" t="s">
        <v>165</v>
      </c>
      <c r="D53" s="5" t="s">
        <v>77</v>
      </c>
      <c r="E53" s="5" t="s">
        <v>166</v>
      </c>
      <c r="F53" s="5" t="s">
        <v>167</v>
      </c>
      <c r="G53" s="5" t="s">
        <v>168</v>
      </c>
      <c r="H53" s="5" t="s">
        <v>169</v>
      </c>
      <c r="I53" s="5" t="s">
        <v>170</v>
      </c>
      <c r="J53" s="5"/>
      <c r="K53" s="5"/>
    </row>
    <row r="54" customFormat="false" ht="15" hidden="false" customHeight="false" outlineLevel="0" collapsed="false">
      <c r="A54" s="13" t="n">
        <v>54</v>
      </c>
      <c r="B54" s="5" t="s">
        <v>266</v>
      </c>
      <c r="C54" s="5" t="s">
        <v>220</v>
      </c>
      <c r="D54" s="5" t="s">
        <v>79</v>
      </c>
      <c r="E54" s="5" t="s">
        <v>222</v>
      </c>
      <c r="F54" s="5" t="s">
        <v>152</v>
      </c>
      <c r="G54" s="5"/>
      <c r="H54" s="5"/>
      <c r="I54" s="5" t="s">
        <v>174</v>
      </c>
      <c r="J54" s="5"/>
      <c r="K54" s="5" t="s">
        <v>94</v>
      </c>
    </row>
    <row r="55" customFormat="false" ht="15" hidden="false" customHeight="false" outlineLevel="0" collapsed="false">
      <c r="A55" s="13" t="n">
        <v>55</v>
      </c>
      <c r="B55" s="5" t="s">
        <v>267</v>
      </c>
      <c r="C55" s="5" t="s">
        <v>176</v>
      </c>
      <c r="D55" s="5" t="s">
        <v>123</v>
      </c>
      <c r="E55" s="5"/>
      <c r="F55" s="5" t="s">
        <v>157</v>
      </c>
      <c r="G55" s="5"/>
      <c r="H55" s="5"/>
      <c r="I55" s="5"/>
      <c r="J55" s="5"/>
      <c r="K55" s="5"/>
    </row>
    <row r="56" customFormat="false" ht="15" hidden="false" customHeight="false" outlineLevel="0" collapsed="false">
      <c r="A56" s="13" t="n">
        <v>56</v>
      </c>
      <c r="B56" s="5" t="s">
        <v>268</v>
      </c>
      <c r="C56" s="5" t="s">
        <v>179</v>
      </c>
      <c r="D56" s="5" t="s">
        <v>114</v>
      </c>
      <c r="E56" s="5" t="s">
        <v>180</v>
      </c>
      <c r="F56" s="5" t="s">
        <v>160</v>
      </c>
      <c r="G56" s="5" t="s">
        <v>161</v>
      </c>
      <c r="H56" s="5" t="s">
        <v>162</v>
      </c>
      <c r="I56" s="5" t="s">
        <v>153</v>
      </c>
      <c r="J56" s="5"/>
      <c r="K56" s="5"/>
    </row>
    <row r="57" customFormat="false" ht="15" hidden="false" customHeight="false" outlineLevel="0" collapsed="false">
      <c r="A57" s="13" t="n">
        <v>57</v>
      </c>
      <c r="B57" s="5" t="s">
        <v>269</v>
      </c>
      <c r="C57" s="5" t="s">
        <v>182</v>
      </c>
      <c r="D57" s="5" t="s">
        <v>88</v>
      </c>
      <c r="E57" s="5" t="s">
        <v>183</v>
      </c>
      <c r="F57" s="5" t="s">
        <v>167</v>
      </c>
      <c r="G57" s="5" t="s">
        <v>168</v>
      </c>
      <c r="H57" s="5" t="s">
        <v>169</v>
      </c>
      <c r="I57" s="5" t="s">
        <v>158</v>
      </c>
      <c r="J57" s="5"/>
      <c r="K57" s="5" t="s">
        <v>54</v>
      </c>
    </row>
    <row r="58" customFormat="false" ht="15" hidden="false" customHeight="false" outlineLevel="0" collapsed="false">
      <c r="A58" s="13" t="n">
        <v>58</v>
      </c>
      <c r="B58" s="5" t="s">
        <v>270</v>
      </c>
      <c r="C58" s="5" t="s">
        <v>229</v>
      </c>
      <c r="D58" s="5" t="s">
        <v>90</v>
      </c>
      <c r="E58" s="5" t="s">
        <v>230</v>
      </c>
      <c r="F58" s="5" t="s">
        <v>152</v>
      </c>
      <c r="G58" s="5"/>
      <c r="H58" s="5"/>
      <c r="I58" s="5" t="s">
        <v>163</v>
      </c>
      <c r="J58" s="5"/>
      <c r="K58" s="5"/>
    </row>
    <row r="59" customFormat="false" ht="15" hidden="false" customHeight="false" outlineLevel="0" collapsed="false">
      <c r="A59" s="13" t="n">
        <v>59</v>
      </c>
      <c r="B59" s="5" t="s">
        <v>271</v>
      </c>
      <c r="C59" s="5" t="s">
        <v>188</v>
      </c>
      <c r="D59" s="5" t="s">
        <v>93</v>
      </c>
      <c r="E59" s="5" t="s">
        <v>190</v>
      </c>
      <c r="F59" s="5" t="s">
        <v>157</v>
      </c>
      <c r="G59" s="5"/>
      <c r="H59" s="5"/>
      <c r="I59" s="5" t="s">
        <v>170</v>
      </c>
      <c r="J59" s="5"/>
      <c r="K59" s="5"/>
    </row>
    <row r="60" customFormat="false" ht="15" hidden="false" customHeight="false" outlineLevel="0" collapsed="false">
      <c r="A60" s="13" t="n">
        <v>60</v>
      </c>
      <c r="B60" s="5" t="s">
        <v>272</v>
      </c>
      <c r="C60" s="5" t="s">
        <v>233</v>
      </c>
      <c r="D60" s="5" t="s">
        <v>117</v>
      </c>
      <c r="E60" s="5" t="s">
        <v>234</v>
      </c>
      <c r="F60" s="5" t="s">
        <v>160</v>
      </c>
      <c r="G60" s="5" t="s">
        <v>161</v>
      </c>
      <c r="H60" s="5" t="s">
        <v>162</v>
      </c>
      <c r="I60" s="5" t="s">
        <v>174</v>
      </c>
      <c r="J60" s="5"/>
      <c r="K60" s="5"/>
    </row>
    <row r="61" customFormat="false" ht="15" hidden="false" customHeight="false" outlineLevel="0" collapsed="false">
      <c r="A61" s="13" t="n">
        <v>61</v>
      </c>
      <c r="B61" s="5" t="s">
        <v>273</v>
      </c>
      <c r="C61" s="5" t="s">
        <v>196</v>
      </c>
      <c r="D61" s="5" t="s">
        <v>118</v>
      </c>
      <c r="E61" s="5" t="s">
        <v>197</v>
      </c>
      <c r="F61" s="5" t="s">
        <v>167</v>
      </c>
      <c r="G61" s="5" t="s">
        <v>168</v>
      </c>
      <c r="H61" s="5" t="s">
        <v>169</v>
      </c>
      <c r="I61" s="5"/>
      <c r="J61" s="5"/>
      <c r="K61" s="5"/>
    </row>
    <row r="62" customFormat="false" ht="15" hidden="false" customHeight="false" outlineLevel="0" collapsed="false">
      <c r="A62" s="13" t="n">
        <v>62</v>
      </c>
      <c r="B62" s="5" t="s">
        <v>274</v>
      </c>
      <c r="C62" s="5" t="s">
        <v>198</v>
      </c>
      <c r="D62" s="5" t="s">
        <v>207</v>
      </c>
      <c r="E62" s="5" t="s">
        <v>199</v>
      </c>
      <c r="F62" s="5" t="s">
        <v>152</v>
      </c>
      <c r="G62" s="5"/>
      <c r="H62" s="5"/>
      <c r="I62" s="5" t="s">
        <v>153</v>
      </c>
      <c r="J62" s="5"/>
      <c r="K62" s="5"/>
    </row>
    <row r="63" customFormat="false" ht="15" hidden="false" customHeight="false" outlineLevel="0" collapsed="false">
      <c r="A63" s="13" t="n">
        <v>63</v>
      </c>
      <c r="B63" s="5" t="s">
        <v>275</v>
      </c>
      <c r="C63" s="5" t="s">
        <v>201</v>
      </c>
      <c r="D63" s="5" t="s">
        <v>209</v>
      </c>
      <c r="E63" s="5" t="s">
        <v>202</v>
      </c>
      <c r="F63" s="5" t="s">
        <v>157</v>
      </c>
      <c r="G63" s="5"/>
      <c r="H63" s="5"/>
      <c r="I63" s="5" t="s">
        <v>158</v>
      </c>
      <c r="J63" s="5"/>
      <c r="K63" s="5"/>
    </row>
    <row r="64" customFormat="false" ht="15" hidden="false" customHeight="false" outlineLevel="0" collapsed="false">
      <c r="A64" s="13" t="n">
        <v>64</v>
      </c>
      <c r="B64" s="5" t="s">
        <v>276</v>
      </c>
      <c r="C64" s="5" t="s">
        <v>172</v>
      </c>
      <c r="D64" s="5" t="s">
        <v>212</v>
      </c>
      <c r="E64" s="5" t="s">
        <v>186</v>
      </c>
      <c r="F64" s="5" t="s">
        <v>160</v>
      </c>
      <c r="G64" s="5" t="s">
        <v>161</v>
      </c>
      <c r="H64" s="5" t="s">
        <v>162</v>
      </c>
      <c r="I64" s="5" t="s">
        <v>163</v>
      </c>
      <c r="J64" s="5"/>
      <c r="K64" s="5"/>
    </row>
    <row r="65" customFormat="false" ht="15" hidden="false" customHeight="false" outlineLevel="0" collapsed="false">
      <c r="A65" s="13" t="n">
        <v>65</v>
      </c>
      <c r="B65" s="5" t="s">
        <v>277</v>
      </c>
      <c r="C65" s="5" t="s">
        <v>185</v>
      </c>
      <c r="D65" s="5" t="s">
        <v>217</v>
      </c>
      <c r="E65" s="5" t="s">
        <v>173</v>
      </c>
      <c r="F65" s="5" t="s">
        <v>167</v>
      </c>
      <c r="G65" s="5" t="s">
        <v>168</v>
      </c>
      <c r="H65" s="5" t="s">
        <v>169</v>
      </c>
      <c r="I65" s="5" t="s">
        <v>170</v>
      </c>
      <c r="J65" s="5"/>
      <c r="K65" s="5"/>
    </row>
    <row r="66" customFormat="false" ht="15" hidden="false" customHeight="false" outlineLevel="0" collapsed="false">
      <c r="A66" s="13" t="n">
        <v>66</v>
      </c>
      <c r="B66" s="5" t="s">
        <v>278</v>
      </c>
      <c r="C66" s="5" t="s">
        <v>198</v>
      </c>
      <c r="D66" s="5" t="s">
        <v>12</v>
      </c>
      <c r="E66" s="5" t="s">
        <v>279</v>
      </c>
      <c r="F66" s="5" t="s">
        <v>194</v>
      </c>
      <c r="G66" s="5"/>
      <c r="H66" s="5"/>
      <c r="I66" s="5" t="s">
        <v>158</v>
      </c>
      <c r="J66" s="5"/>
      <c r="K66" s="5" t="s">
        <v>128</v>
      </c>
    </row>
    <row r="67" customFormat="false" ht="15" hidden="false" customHeight="false" outlineLevel="0" collapsed="false">
      <c r="A67" s="13" t="n">
        <v>67</v>
      </c>
      <c r="B67" s="5" t="s">
        <v>280</v>
      </c>
      <c r="C67" s="5" t="s">
        <v>155</v>
      </c>
      <c r="D67" s="5" t="s">
        <v>105</v>
      </c>
      <c r="E67" s="5" t="s">
        <v>156</v>
      </c>
      <c r="F67" s="5" t="s">
        <v>157</v>
      </c>
      <c r="G67" s="5"/>
      <c r="H67" s="5"/>
      <c r="I67" s="5"/>
      <c r="J67" s="5"/>
      <c r="K67" s="5" t="s">
        <v>94</v>
      </c>
    </row>
    <row r="68" customFormat="false" ht="15" hidden="false" customHeight="false" outlineLevel="0" collapsed="false">
      <c r="A68" s="13" t="n">
        <v>68</v>
      </c>
      <c r="B68" s="5" t="s">
        <v>281</v>
      </c>
      <c r="C68" s="5" t="s">
        <v>204</v>
      </c>
      <c r="D68" s="5" t="s">
        <v>50</v>
      </c>
      <c r="E68" s="5" t="s">
        <v>213</v>
      </c>
      <c r="F68" s="5" t="s">
        <v>160</v>
      </c>
      <c r="G68" s="5" t="s">
        <v>161</v>
      </c>
      <c r="H68" s="5" t="s">
        <v>162</v>
      </c>
      <c r="I68" s="5" t="s">
        <v>153</v>
      </c>
      <c r="J68" s="5"/>
      <c r="K68" s="5" t="s">
        <v>54</v>
      </c>
    </row>
    <row r="69" customFormat="false" ht="15" hidden="false" customHeight="false" outlineLevel="0" collapsed="false">
      <c r="A69" s="13" t="n">
        <v>69</v>
      </c>
      <c r="B69" s="5" t="s">
        <v>282</v>
      </c>
      <c r="C69" s="5" t="s">
        <v>165</v>
      </c>
      <c r="D69" s="5" t="s">
        <v>56</v>
      </c>
      <c r="E69" s="5" t="s">
        <v>166</v>
      </c>
      <c r="F69" s="5" t="s">
        <v>167</v>
      </c>
      <c r="G69" s="5" t="s">
        <v>168</v>
      </c>
      <c r="H69" s="5" t="s">
        <v>169</v>
      </c>
      <c r="I69" s="5" t="s">
        <v>158</v>
      </c>
      <c r="J69" s="5"/>
      <c r="K69" s="5"/>
    </row>
    <row r="70" customFormat="false" ht="15" hidden="false" customHeight="false" outlineLevel="0" collapsed="false">
      <c r="A70" s="13" t="n">
        <v>70</v>
      </c>
      <c r="B70" s="5" t="s">
        <v>283</v>
      </c>
      <c r="C70" s="5" t="s">
        <v>188</v>
      </c>
      <c r="D70" s="5" t="s">
        <v>117</v>
      </c>
      <c r="E70" s="5" t="s">
        <v>284</v>
      </c>
      <c r="F70" s="5" t="s">
        <v>157</v>
      </c>
      <c r="G70" s="5"/>
      <c r="H70" s="5"/>
      <c r="I70" s="5" t="s">
        <v>170</v>
      </c>
      <c r="J70" s="5" t="s">
        <v>32</v>
      </c>
      <c r="K70" s="5"/>
    </row>
    <row r="71" customFormat="false" ht="15" hidden="false" customHeight="false" outlineLevel="0" collapsed="false">
      <c r="A71" s="13" t="n">
        <v>71</v>
      </c>
      <c r="B71" s="5" t="s">
        <v>285</v>
      </c>
      <c r="C71" s="5" t="s">
        <v>176</v>
      </c>
      <c r="D71" s="5" t="s">
        <v>62</v>
      </c>
      <c r="E71" s="5" t="s">
        <v>177</v>
      </c>
      <c r="F71" s="5" t="s">
        <v>157</v>
      </c>
      <c r="G71" s="5"/>
      <c r="H71" s="5"/>
      <c r="I71" s="5" t="s">
        <v>170</v>
      </c>
      <c r="J71" s="5"/>
      <c r="K71" s="5"/>
    </row>
    <row r="72" customFormat="false" ht="15" hidden="false" customHeight="false" outlineLevel="0" collapsed="false">
      <c r="A72" s="13" t="n">
        <v>72</v>
      </c>
      <c r="B72" s="5" t="s">
        <v>286</v>
      </c>
      <c r="C72" s="5" t="s">
        <v>179</v>
      </c>
      <c r="D72" s="5" t="s">
        <v>67</v>
      </c>
      <c r="E72" s="5" t="s">
        <v>180</v>
      </c>
      <c r="F72" s="5" t="s">
        <v>160</v>
      </c>
      <c r="G72" s="5" t="s">
        <v>161</v>
      </c>
      <c r="H72" s="5" t="s">
        <v>162</v>
      </c>
      <c r="I72" s="5" t="s">
        <v>174</v>
      </c>
      <c r="J72" s="5"/>
      <c r="K72" s="5"/>
    </row>
    <row r="73" customFormat="false" ht="15" hidden="false" customHeight="false" outlineLevel="0" collapsed="false">
      <c r="A73" s="13" t="n">
        <v>73</v>
      </c>
      <c r="B73" s="5" t="s">
        <v>287</v>
      </c>
      <c r="C73" s="5" t="s">
        <v>182</v>
      </c>
      <c r="D73" s="5" t="s">
        <v>12</v>
      </c>
      <c r="E73" s="5" t="s">
        <v>183</v>
      </c>
      <c r="F73" s="5" t="s">
        <v>167</v>
      </c>
      <c r="G73" s="5" t="s">
        <v>168</v>
      </c>
      <c r="H73" s="5" t="s">
        <v>169</v>
      </c>
      <c r="I73" s="5" t="s">
        <v>288</v>
      </c>
      <c r="J73" s="5"/>
      <c r="K73" s="5"/>
    </row>
    <row r="75" customFormat="false" ht="15" hidden="false" customHeight="false" outlineLevel="0" collapsed="false">
      <c r="A75" s="1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" hidden="false" customHeight="true" outlineLevel="0" collapsed="false">
      <c r="A1" s="32" t="s">
        <v>290</v>
      </c>
    </row>
    <row r="2" customFormat="false" ht="18" hidden="false" customHeight="true" outlineLevel="0" collapsed="false">
      <c r="A2" s="33"/>
    </row>
    <row r="3" customFormat="false" ht="30" hidden="false" customHeight="true" outlineLevel="0" collapsed="false">
      <c r="A3" s="33" t="s">
        <v>291</v>
      </c>
    </row>
    <row r="4" customFormat="false" ht="30" hidden="false" customHeight="true" outlineLevel="0" collapsed="false">
      <c r="A4" s="33" t="s">
        <v>292</v>
      </c>
    </row>
    <row r="5" customFormat="false" ht="30" hidden="false" customHeight="true" outlineLevel="0" collapsed="false">
      <c r="A5" s="33" t="s">
        <v>293</v>
      </c>
    </row>
    <row r="6" customFormat="false" ht="30" hidden="false" customHeight="true" outlineLevel="0" collapsed="false">
      <c r="A6" s="33" t="s">
        <v>294</v>
      </c>
    </row>
    <row r="7" customFormat="false" ht="18" hidden="false" customHeight="true" outlineLevel="0" collapsed="false">
      <c r="A7" s="33" t="s">
        <v>295</v>
      </c>
    </row>
    <row r="8" customFormat="false" ht="18" hidden="false" customHeight="true" outlineLevel="0" collapsed="false">
      <c r="A8" s="33" t="s">
        <v>296</v>
      </c>
    </row>
    <row r="9" customFormat="false" ht="18" hidden="false" customHeight="true" outlineLevel="0" collapsed="false">
      <c r="A9" s="33"/>
    </row>
    <row r="10" customFormat="false" ht="30" hidden="false" customHeight="true" outlineLevel="0" collapsed="false">
      <c r="A10" s="34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2026-10-07T16:33:44Z</dcterms:created>
  <dc:creator>openpyxl</dc:creator>
  <dc:description/>
  <dc:language>en-US</dc:language>
  <cp:lastModifiedBy/>
  <dcterms:modified xsi:type="dcterms:W3CDTF">2026-10-07T16:33:45Z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